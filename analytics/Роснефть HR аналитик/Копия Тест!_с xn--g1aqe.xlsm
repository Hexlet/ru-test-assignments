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2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/Users/elnar/Desktop/"/>
    </mc:Choice>
  </mc:AlternateContent>
  <xr:revisionPtr revIDLastSave="0" documentId="8_{6C5237AA-C43E-1A44-B4AF-C816ECB810C7}" xr6:coauthVersionLast="36" xr6:coauthVersionMax="36" xr10:uidLastSave="{00000000-0000-0000-0000-000000000000}"/>
  <bookViews>
    <workbookView xWindow="360" yWindow="460" windowWidth="20960" windowHeight="9220" activeTab="2" xr2:uid="{00000000-000D-0000-FFFF-FFFF00000000}"/>
  </bookViews>
  <sheets>
    <sheet name="СЗП" sheetId="8" r:id="rId1"/>
    <sheet name="СЗП_2" sheetId="10" r:id="rId2"/>
    <sheet name="СЗП_3" sheetId="11" r:id="rId3"/>
    <sheet name="Тест1 Данные" sheetId="2" r:id="rId4"/>
    <sheet name="Тест1 Объекты_14" sheetId="1" r:id="rId5"/>
    <sheet name="Сводная" sheetId="7" r:id="rId6"/>
    <sheet name="Диаграммы" sheetId="6" r:id="rId7"/>
  </sheets>
  <definedNames>
    <definedName name="_xlnm._FilterDatabase" localSheetId="3" hidden="1">'Тест1 Данные'!$A$1:$G$1</definedName>
  </definedNames>
  <calcPr calcId="181029"/>
</workbook>
</file>

<file path=xl/calcChain.xml><?xml version="1.0" encoding="utf-8"?>
<calcChain xmlns="http://schemas.openxmlformats.org/spreadsheetml/2006/main">
  <c r="F15" i="8" l="1"/>
  <c r="E15" i="8"/>
  <c r="D15" i="8"/>
  <c r="C6" i="7" l="1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5" i="7"/>
  <c r="D161" i="2" l="1"/>
  <c r="D158" i="2"/>
  <c r="S4" i="6"/>
  <c r="R4" i="6"/>
  <c r="P4" i="6"/>
  <c r="O4" i="6"/>
  <c r="M4" i="6"/>
  <c r="L4" i="6"/>
  <c r="J4" i="6"/>
  <c r="I4" i="6"/>
  <c r="G4" i="6"/>
  <c r="F4" i="6"/>
  <c r="D4" i="6"/>
  <c r="C4" i="6"/>
  <c r="S3" i="6"/>
  <c r="P3" i="6"/>
  <c r="M3" i="6"/>
  <c r="J3" i="6"/>
  <c r="G4" i="1" l="1"/>
  <c r="F4" i="1"/>
  <c r="E4" i="1"/>
  <c r="H3" i="1"/>
  <c r="G3" i="1"/>
  <c r="F3" i="1"/>
  <c r="E3" i="1"/>
  <c r="D3" i="1"/>
  <c r="C3" i="1"/>
  <c r="B3" i="1"/>
  <c r="A3" i="1"/>
  <c r="H4" i="1" l="1"/>
  <c r="D4" i="1"/>
</calcChain>
</file>

<file path=xl/sharedStrings.xml><?xml version="1.0" encoding="utf-8"?>
<sst xmlns="http://schemas.openxmlformats.org/spreadsheetml/2006/main" count="1094" uniqueCount="295">
  <si>
    <t>ВнутрПромТрубКуст №1</t>
  </si>
  <si>
    <t>ВнутрПромТрубКуст №2</t>
  </si>
  <si>
    <t>ВнутрПромТрубКуст №3</t>
  </si>
  <si>
    <t>ВнутрПромТрубКуст №4</t>
  </si>
  <si>
    <t>ВнутрПромТрубКуст №5</t>
  </si>
  <si>
    <t>ВнутрПромТрубКуст №6</t>
  </si>
  <si>
    <t>ВнутрПромТрубКуст №7</t>
  </si>
  <si>
    <t>ВнутрПромТрубКуст №8</t>
  </si>
  <si>
    <t>ВнутрПромТрубКуст №9</t>
  </si>
  <si>
    <t>ВнутрПромТрубКуст №10</t>
  </si>
  <si>
    <t>ВнутрПромТрубКуст №11</t>
  </si>
  <si>
    <t>ВнутрПромТрубКуст №12</t>
  </si>
  <si>
    <t>ВнутрПромТрубКуст №14</t>
  </si>
  <si>
    <t>ВнутрПромТрубКуст №15</t>
  </si>
  <si>
    <t>ВнутрПромТрубКуст №17</t>
  </si>
  <si>
    <t>ВнутрПромТрубКуст №20</t>
  </si>
  <si>
    <t>ВнутрПромТрубКуст №21</t>
  </si>
  <si>
    <t>Объект</t>
  </si>
  <si>
    <t>ПИР</t>
  </si>
  <si>
    <t>СМР (бурение)</t>
  </si>
  <si>
    <t>ИТС (б.л.)</t>
  </si>
  <si>
    <t>Оборудование_Под</t>
  </si>
  <si>
    <t>МТР_Под</t>
  </si>
  <si>
    <t>Внутрипромысловые трубопроводы</t>
  </si>
  <si>
    <t>СПП-элемент</t>
  </si>
  <si>
    <t>вид работ</t>
  </si>
  <si>
    <t>КС00009922</t>
  </si>
  <si>
    <t>Газопровод 355х23 (5990м)</t>
  </si>
  <si>
    <t>0803820030 НКС_МатериалыПоставкиПодрядчика</t>
  </si>
  <si>
    <t>0803830000 НКС_СтроительноМонтажныеРаботы</t>
  </si>
  <si>
    <t>0803840002 НКС_ПИР_Проектирование</t>
  </si>
  <si>
    <t>КС00009923</t>
  </si>
  <si>
    <t>Газопровод 324х22(3565м)</t>
  </si>
  <si>
    <t>МТР_ПодВнутрПромТрубКуст №1</t>
  </si>
  <si>
    <t>СМР (бурение)ВнутрПромТрубКуст №1</t>
  </si>
  <si>
    <t>ПИРВнутрПромТрубКуст №1</t>
  </si>
  <si>
    <t>ПИРВнутрПромТрубКуст №2</t>
  </si>
  <si>
    <t>КС00015371</t>
  </si>
  <si>
    <t>Узел приема-запуска СОД в Т.1</t>
  </si>
  <si>
    <t>КС00015377</t>
  </si>
  <si>
    <t>Узел приема СОД в Т.4</t>
  </si>
  <si>
    <t>КС00015384</t>
  </si>
  <si>
    <t>ПТ. Участок от Т7С-К6</t>
  </si>
  <si>
    <t>КС00015391</t>
  </si>
  <si>
    <t>ПТ. Узел приема СОД в Т.6</t>
  </si>
  <si>
    <t>ПИРВнутрПромТрубКуст №12</t>
  </si>
  <si>
    <t>ПИРВнутрПромТрубКуст №7</t>
  </si>
  <si>
    <t>ПИРВнутрПромТрубКуст №17</t>
  </si>
  <si>
    <t>ПИРВнутрПромТрубКуст №10</t>
  </si>
  <si>
    <t>КС00018628</t>
  </si>
  <si>
    <t>Водовод 219х12(4183м)</t>
  </si>
  <si>
    <t>КС00018639</t>
  </si>
  <si>
    <t>Водовод 355х19 (5760м) №2</t>
  </si>
  <si>
    <t>КС00018675</t>
  </si>
  <si>
    <t>Нефтепровод 273х11(3842м)</t>
  </si>
  <si>
    <t>МТР_ПодВнутрПромТрубКуст №10</t>
  </si>
  <si>
    <t>СМР (бурение)ВнутрПромТрубКуст №10</t>
  </si>
  <si>
    <t>ВнутрПромТрубКуст №16</t>
  </si>
  <si>
    <t>СМР (бурение)ВнутрПромТрубКуст №16</t>
  </si>
  <si>
    <t>ПИРВнутрПромТрубКуст №16</t>
  </si>
  <si>
    <t>КС00020686</t>
  </si>
  <si>
    <t>Водовод НН 377*8</t>
  </si>
  <si>
    <t>МТР_ПодВнутрПромТрубКуст №6</t>
  </si>
  <si>
    <t>СМР (бурение)ВнутрПромТрубКуст №6</t>
  </si>
  <si>
    <t>КС00022595</t>
  </si>
  <si>
    <t>Узел приема-запуска СОД в Т.8</t>
  </si>
  <si>
    <t>СМР (бурение)ВнутрПромТрубКуст №2</t>
  </si>
  <si>
    <t>0803810030 НКС_ОборудПоставкиПодрядчика</t>
  </si>
  <si>
    <t>КС00024064</t>
  </si>
  <si>
    <t>Высок/напорВодов К21-УПСВ-С(273,325,426)</t>
  </si>
  <si>
    <t>МТР_ПодВнутрПромТрубКуст №21</t>
  </si>
  <si>
    <t>СМР (бурение)ВнутрПромТрубКуст №21</t>
  </si>
  <si>
    <t>ПИРВнутрПромТрубКуст №21</t>
  </si>
  <si>
    <t>КС00025173</t>
  </si>
  <si>
    <t>Напорный нефтепровод 530х14</t>
  </si>
  <si>
    <t>0803890007 НКС_ПрочиеЗатр_ПускоНаладРабБезНагрузки</t>
  </si>
  <si>
    <t>КС00026461</t>
  </si>
  <si>
    <t>Узел приема СОД в Т.1-С</t>
  </si>
  <si>
    <t>ПИРВнутрПромТрубКуст №3</t>
  </si>
  <si>
    <t>КС00026526</t>
  </si>
  <si>
    <t>Водовод ВД 426х12, 168х14 (лупинг)</t>
  </si>
  <si>
    <t>ПИРВнутрПромТрубКуст №6</t>
  </si>
  <si>
    <t>КС00026734</t>
  </si>
  <si>
    <t>Нефтепровод 720х17,5 (Т.3С-Т.5С)</t>
  </si>
  <si>
    <t>ВнутрПромТрубКуст №24</t>
  </si>
  <si>
    <t>МТР_ПодВнутрПромТрубКуст №24</t>
  </si>
  <si>
    <t>СМР (бурение)ВнутрПромТрубКуст №24</t>
  </si>
  <si>
    <t>КС00026818</t>
  </si>
  <si>
    <t>Водовод ВД 426х22 (2 нитка УПСВ-С-Т.5С)</t>
  </si>
  <si>
    <t>КС00026819</t>
  </si>
  <si>
    <t>Нефтепровод 720х17,5 (УПСВ-С-Т.5С)</t>
  </si>
  <si>
    <t>КС00026946</t>
  </si>
  <si>
    <t>Нефтегазопровод 219х10 (670 м)</t>
  </si>
  <si>
    <t>ВнутрПромТрубКуст №19</t>
  </si>
  <si>
    <t>ПИРВнутрПромТрубКуст №19</t>
  </si>
  <si>
    <t>КС00027548</t>
  </si>
  <si>
    <t>Узел приема СОД в Т.17С от К19</t>
  </si>
  <si>
    <t>МТР_ПодВнутрПромТрубКуст №19</t>
  </si>
  <si>
    <t>СМР (бурение)ВнутрПромТрубКуст №19</t>
  </si>
  <si>
    <t>КС00027598</t>
  </si>
  <si>
    <t>ПТ.Участок от К17 до Т.7С.Автоматизация</t>
  </si>
  <si>
    <t>СМР (бурение)ВнутрПромТрубКуст №17</t>
  </si>
  <si>
    <t>КС00027681</t>
  </si>
  <si>
    <t>УзелПриемаЗапуска СОД в Т.6С.СистемСвяз</t>
  </si>
  <si>
    <t>КС00027693</t>
  </si>
  <si>
    <t>УзелПриемаЗапуска СОД в Т.2.СистемаСвязи</t>
  </si>
  <si>
    <t>КС00027698</t>
  </si>
  <si>
    <t>Узел приема СОД в Т.3.Автоматизация</t>
  </si>
  <si>
    <t>Оборудование_ПодВнутрПромТрубКуст №21</t>
  </si>
  <si>
    <t>Оборудование_ПодВнутрПромТрубКуст №12</t>
  </si>
  <si>
    <t>МТР_ПодВнутрПромТрубКуст №12</t>
  </si>
  <si>
    <t>СМР (бурение)ВнутрПромТрубКуст №12</t>
  </si>
  <si>
    <t>ПИРВнутрПромТрубКуст №11</t>
  </si>
  <si>
    <t>КС00028114</t>
  </si>
  <si>
    <t>Узел приема-запуска СОД в Т.16С</t>
  </si>
  <si>
    <t>КС00028794</t>
  </si>
  <si>
    <t>Узел приема СОД  в Т.4С от К.16</t>
  </si>
  <si>
    <t>КС00029125</t>
  </si>
  <si>
    <t>Узел запуска СОД на резерв.нитке Т3С-Т5С</t>
  </si>
  <si>
    <t>КС00029355</t>
  </si>
  <si>
    <t>Электрообогрев.Нефтегазопровод355,6*14,3</t>
  </si>
  <si>
    <t>КС00029357</t>
  </si>
  <si>
    <t>Электрообогрев СОД в Т.1</t>
  </si>
  <si>
    <t>КС00029359</t>
  </si>
  <si>
    <t>Электрообогрев.Водовод ВД 355,6*19,05</t>
  </si>
  <si>
    <t>КС00029360</t>
  </si>
  <si>
    <t>Электрообогрев СОД в Т.2</t>
  </si>
  <si>
    <t>Электрообогрев.Нефтегазопровод 720х17,5</t>
  </si>
  <si>
    <t>КС00029465</t>
  </si>
  <si>
    <t>Электрообогрев.Водовод ВД 406,6х22,23</t>
  </si>
  <si>
    <t>КС00029466</t>
  </si>
  <si>
    <t>КС00029467</t>
  </si>
  <si>
    <t>Электрообогрев.Водовод ВД 355,6х19,05№1</t>
  </si>
  <si>
    <t>КС00029468</t>
  </si>
  <si>
    <t>Электрообогрев.Водовод ВД 355,6х19,05№2</t>
  </si>
  <si>
    <t>КС00029471</t>
  </si>
  <si>
    <t>Электрообогрев.Нефтегазопровод 426х16</t>
  </si>
  <si>
    <t>КС00029480</t>
  </si>
  <si>
    <t>Электрообогрев.Нефтегазопровод 325х12</t>
  </si>
  <si>
    <t>КС00029482</t>
  </si>
  <si>
    <t>Электрообогрев.Водовод НД 377х8</t>
  </si>
  <si>
    <t>Электрообогрев.Водовод ВД 325х18</t>
  </si>
  <si>
    <t>КС00029487</t>
  </si>
  <si>
    <t>МТР_ПодВнутрПромТрубКуст №7</t>
  </si>
  <si>
    <t>СМР (бурение)ВнутрПромТрубКуст №7</t>
  </si>
  <si>
    <t>МТР_ПодВнутрПромТрубКуст №17</t>
  </si>
  <si>
    <t>МТР_ПодВнутрПромТрубКуст №15</t>
  </si>
  <si>
    <t>СМР (бурение)ВнутрПромТрубКуст №15</t>
  </si>
  <si>
    <t>КС00029680</t>
  </si>
  <si>
    <t>КС00029865</t>
  </si>
  <si>
    <t>Нефтегазопровод 325х12 (К.24-Т.14С)</t>
  </si>
  <si>
    <t>КС00029867</t>
  </si>
  <si>
    <t>Узел приема СОД в Т.14С от К.24, К.112</t>
  </si>
  <si>
    <t>КС00029869</t>
  </si>
  <si>
    <t>Нефтегазопровод 325х12 (Т.14С-Т.15С)</t>
  </si>
  <si>
    <t>КС00029871</t>
  </si>
  <si>
    <t>Водовод низконапорный  426х8</t>
  </si>
  <si>
    <t>ПИРВнутрПромТрубКуст №24</t>
  </si>
  <si>
    <t>МТР_ПодВнутрПромТрубКуст №8</t>
  </si>
  <si>
    <t>СМР (бурение)ВнутрПромТрубКуст №8</t>
  </si>
  <si>
    <t>КС00030825</t>
  </si>
  <si>
    <t>Узел приема СОД на резерв.ниткеТ.3С-Т.5С</t>
  </si>
  <si>
    <t>КС00032551</t>
  </si>
  <si>
    <t>УзелПриемаЗапуска СОД в Т.2 Пожарная сиг</t>
  </si>
  <si>
    <t>КС00033532</t>
  </si>
  <si>
    <t>Подв.перех_Нефтегазопровод 720х19 2нитка</t>
  </si>
  <si>
    <t>КС00033826</t>
  </si>
  <si>
    <t>Водовод ВД 325х18</t>
  </si>
  <si>
    <t>КС00033827</t>
  </si>
  <si>
    <t>КС00034732</t>
  </si>
  <si>
    <t>ПТ.УчастокК14-Т1Автоматиз(мониторКорроз)</t>
  </si>
  <si>
    <t>ПИРВнутрПромТрубКуст №14</t>
  </si>
  <si>
    <t>КС00035301</t>
  </si>
  <si>
    <t>УзелПриемаСОДвТ.8 Ду500 АвтоматизТехПроц</t>
  </si>
  <si>
    <t>КС00035414</t>
  </si>
  <si>
    <t>СисЭл-ваВодоводаВД426х22 2нитки(Т3С-Т5С)</t>
  </si>
  <si>
    <t>КС00037876</t>
  </si>
  <si>
    <t>ОхранСигнализПериметральная.УП СОД в Т.7</t>
  </si>
  <si>
    <t>КС00037881</t>
  </si>
  <si>
    <t>ОхранСигнализПериметральная.УП СОД вТ.1</t>
  </si>
  <si>
    <t>КС00037882</t>
  </si>
  <si>
    <t>ОхранСигнализПериметральная.УП СОД вТ.5</t>
  </si>
  <si>
    <t>КС00037883</t>
  </si>
  <si>
    <t>ОхранСигнализПериметральная.УП СОД вТ.2</t>
  </si>
  <si>
    <t>КС00037886</t>
  </si>
  <si>
    <t>ОхранСигнализПериметральная.УП СОД вТ.6</t>
  </si>
  <si>
    <t>КС00037887</t>
  </si>
  <si>
    <t>ОхранСигнализПериметральная.УП СОД вТ.6С</t>
  </si>
  <si>
    <t>Оборудование_ПодВнутрПромТрубКуст №9</t>
  </si>
  <si>
    <t>МТР_ПодВнутрПромТрубКуст №9</t>
  </si>
  <si>
    <t>СМР (бурение)ВнутрПромТрубКуст №9</t>
  </si>
  <si>
    <t>Оборудование_ПодВнутрПромТрубКуст №8</t>
  </si>
  <si>
    <t>Оборудование_ПодВнутрПромТрубКуст №10</t>
  </si>
  <si>
    <t>КС00039963</t>
  </si>
  <si>
    <t>Стенд на участке ВПТ Т.1С-ЦПС (Лупинг)</t>
  </si>
  <si>
    <t>КС00044313</t>
  </si>
  <si>
    <t>Элекстрообогрев.ВодоводВД426х22(1 нитка)</t>
  </si>
  <si>
    <t>ПИР0010476</t>
  </si>
  <si>
    <t>Промысловые трубопроводы ПИР</t>
  </si>
  <si>
    <t>2012г.</t>
  </si>
  <si>
    <t>2013г.</t>
  </si>
  <si>
    <t>2014г.</t>
  </si>
  <si>
    <t>2015г.</t>
  </si>
  <si>
    <t xml:space="preserve">2016г. </t>
  </si>
  <si>
    <t>2017г.</t>
  </si>
  <si>
    <t>ИК</t>
  </si>
  <si>
    <t>БП ожид.
(+14 млрд.р.)</t>
  </si>
  <si>
    <t>БП13-17 от 13.08.12</t>
  </si>
  <si>
    <t>Итого:</t>
  </si>
  <si>
    <t>Л?400000</t>
  </si>
  <si>
    <t>ГРР, Бурение</t>
  </si>
  <si>
    <t>Л?300000</t>
  </si>
  <si>
    <t>Строительство</t>
  </si>
  <si>
    <t>Л?500000</t>
  </si>
  <si>
    <t>ОНСС</t>
  </si>
  <si>
    <t>Данные</t>
  </si>
  <si>
    <t>Общий итог</t>
  </si>
  <si>
    <t xml:space="preserve">Кустовая площадка  2 </t>
  </si>
  <si>
    <t xml:space="preserve">Кустовая площадка  3 </t>
  </si>
  <si>
    <t xml:space="preserve">Кустовая площадка  4 </t>
  </si>
  <si>
    <t xml:space="preserve">Кустовая площадка  5 </t>
  </si>
  <si>
    <t xml:space="preserve">Кустовая площадка  6 </t>
  </si>
  <si>
    <t xml:space="preserve">Кустовая площадка  7 </t>
  </si>
  <si>
    <t xml:space="preserve">Кустовая площадка  8 </t>
  </si>
  <si>
    <t xml:space="preserve">Кустовая площадка  9 </t>
  </si>
  <si>
    <t>Кустовая площадка  10</t>
  </si>
  <si>
    <t>Кустовая площадка  11</t>
  </si>
  <si>
    <t>Кустовая площадка  12</t>
  </si>
  <si>
    <t>Кустовая площадка  14</t>
  </si>
  <si>
    <t xml:space="preserve">Кустовая площадка 15 </t>
  </si>
  <si>
    <t xml:space="preserve">Кустовая площадка 17 </t>
  </si>
  <si>
    <t xml:space="preserve">Кустовая площадка 20 </t>
  </si>
  <si>
    <t>Кустовая площадка  21</t>
  </si>
  <si>
    <t>Уникальный код</t>
  </si>
  <si>
    <t>Вид работ + Уникальный код</t>
  </si>
  <si>
    <t>Стоимость</t>
  </si>
  <si>
    <t>Наименование объекта</t>
  </si>
  <si>
    <t>Сумма по полю Стоимость</t>
  </si>
  <si>
    <r>
      <t xml:space="preserve">С листа "Тест1 Данные" собрать вышеуказанную таблицу </t>
    </r>
    <r>
      <rPr>
        <sz val="10"/>
        <color rgb="FFFF0000"/>
        <rFont val="Times New Roman"/>
        <family val="1"/>
        <charset val="204"/>
      </rPr>
      <t>формулами</t>
    </r>
  </si>
  <si>
    <t>С листа "Тест1 Данные" сформировать сводную таблицу, что бы она в точности отражала нижеуказанные данные вплоть до цвета</t>
  </si>
  <si>
    <t>Должность</t>
  </si>
  <si>
    <t>Подразделение №1</t>
  </si>
  <si>
    <t>Начальник подразделения</t>
  </si>
  <si>
    <t>рук.</t>
  </si>
  <si>
    <t>Заместитель начальника</t>
  </si>
  <si>
    <t>Ведущий специалист</t>
  </si>
  <si>
    <t>спец.</t>
  </si>
  <si>
    <t>Специалист</t>
  </si>
  <si>
    <t>Технолог</t>
  </si>
  <si>
    <t>Механик</t>
  </si>
  <si>
    <t>Мастер</t>
  </si>
  <si>
    <t>Рабочий 5 разряда</t>
  </si>
  <si>
    <t>раб.</t>
  </si>
  <si>
    <t>Рабочий 4 разряда</t>
  </si>
  <si>
    <t>Январь</t>
  </si>
  <si>
    <t>Февраль</t>
  </si>
  <si>
    <t>Март</t>
  </si>
  <si>
    <t>Категория</t>
  </si>
  <si>
    <t>Среднесписочная численность, чел.</t>
  </si>
  <si>
    <t>в том числе:</t>
  </si>
  <si>
    <t>руководители</t>
  </si>
  <si>
    <t>специалисты</t>
  </si>
  <si>
    <t>рабочие</t>
  </si>
  <si>
    <t>Среднемесячная заработная плата, руб.</t>
  </si>
  <si>
    <t>Профессия</t>
  </si>
  <si>
    <t>Кол-во чел./мес.</t>
  </si>
  <si>
    <t>Среднемесячная з/п, руб./чел</t>
  </si>
  <si>
    <t>Единовременная премия по итогам работы за год, руб./чел.</t>
  </si>
  <si>
    <t>Фонд заработной платы в год, тыс.руб.</t>
  </si>
  <si>
    <t>В т.ч. фонд единовременной премии, тыс.руб.</t>
  </si>
  <si>
    <t>Годовой доход с учетом единовременной премии, тыс.руб./чел.</t>
  </si>
  <si>
    <t>Оператор</t>
  </si>
  <si>
    <t>Машинист</t>
  </si>
  <si>
    <t>Кладовщик</t>
  </si>
  <si>
    <t>руб.</t>
  </si>
  <si>
    <t>Средняя заработная плата работников Подразделения №1  за 1 квартал</t>
  </si>
  <si>
    <t>ФИО</t>
  </si>
  <si>
    <t>Должность, профессия</t>
  </si>
  <si>
    <t>Оклад, руб.</t>
  </si>
  <si>
    <t>Стимулирующая надбавка, % к окладу.</t>
  </si>
  <si>
    <t xml:space="preserve">Ежемесячная премия, % </t>
  </si>
  <si>
    <t>(на стим. надбавку не начисляется)</t>
  </si>
  <si>
    <t>З/п в месяц, тыс.руб.</t>
  </si>
  <si>
    <t>Годовой доход с учетом годовой премии, тыс.руб.</t>
  </si>
  <si>
    <t>Васильева О.В.</t>
  </si>
  <si>
    <t>Начальник отдела</t>
  </si>
  <si>
    <t>Ламаш И.П.</t>
  </si>
  <si>
    <t>Кудрявская С.С.</t>
  </si>
  <si>
    <t>Секретарь</t>
  </si>
  <si>
    <t>Михайлов О.И.</t>
  </si>
  <si>
    <t>Инженер</t>
  </si>
  <si>
    <t>Годовая премия составляет для руководителей – 2 среднемесячных з/п, для специалистов – 1 среднемесячные з/п, для служащих и рабочих – 0,5 среднемесячная з/п.</t>
  </si>
  <si>
    <t>2. Заполнить недостающие данные, вывести на печать</t>
  </si>
  <si>
    <t>1. Посчитать среднюю заработную плату по подразделению № 1 за квартал, в том числе по категориям</t>
  </si>
  <si>
    <t>3. Рассчитать месячный и годовой доход за 2014 год по работникам, перечисленным в таблице. 
4. Рассчитать какой процент стимулирующей надбавки должен быть установлен Михайлову О.И. в 2015 году, чтобы годовой доход увеличился на 7% по отношению к 2014 году (сохранить формулы расчета).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</si>
</sst>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_-* #,##0_р_._-;\-* #,##0_р_._-;_-* &quot;-&quot;_р_._-;_-@_-"/>
    <numFmt numFmtId="166" formatCode="#,##0.0"/>
    <numFmt numFmtId="167" formatCode="_-* #,##0_-;\-* #,##0_-;_-* &quot;-&quot;??_-;_-@_-"/>
  </numFmts>
  <fonts count="19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sz val="10"/>
      <name val="Arial"/>
      <family val="2"/>
      <charset val="204"/>
    </font>
    <font>
      <b/>
      <sz val="10"/>
      <name val="Times New Roman"/>
      <family val="1"/>
      <charset val="204"/>
    </font>
    <font>
      <sz val="10"/>
      <name val="Helv"/>
    </font>
    <font>
      <b/>
      <sz val="11"/>
      <name val="Times New Roman"/>
      <family val="1"/>
      <charset val="204"/>
    </font>
    <font>
      <b/>
      <sz val="10"/>
      <color indexed="8"/>
      <name val="Times New Roman"/>
      <family val="1"/>
      <charset val="204"/>
    </font>
    <font>
      <sz val="10"/>
      <color indexed="8"/>
      <name val="Times New Roman"/>
      <family val="1"/>
      <charset val="204"/>
    </font>
    <font>
      <b/>
      <sz val="11"/>
      <color indexed="8"/>
      <name val="Calibri"/>
      <family val="2"/>
      <charset val="204"/>
    </font>
    <font>
      <b/>
      <sz val="11"/>
      <color rgb="FFFF0000"/>
      <name val="Calibri"/>
      <family val="2"/>
      <charset val="204"/>
      <scheme val="minor"/>
    </font>
    <font>
      <sz val="10"/>
      <color rgb="FFFF0000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0" fontId="4" fillId="0" borderId="0"/>
    <xf numFmtId="0" fontId="6" fillId="0" borderId="0"/>
    <xf numFmtId="164" fontId="13" fillId="0" borderId="0" applyFont="0" applyFill="0" applyBorder="0" applyAlignment="0" applyProtection="0"/>
  </cellStyleXfs>
  <cellXfs count="121">
    <xf numFmtId="0" fontId="0" fillId="0" borderId="0" xfId="0"/>
    <xf numFmtId="0" fontId="3" fillId="0" borderId="1" xfId="1" applyFont="1" applyFill="1" applyBorder="1" applyAlignment="1">
      <alignment horizontal="left"/>
    </xf>
    <xf numFmtId="3" fontId="3" fillId="0" borderId="1" xfId="1" applyNumberFormat="1" applyFont="1" applyFill="1" applyBorder="1" applyAlignment="1">
      <alignment horizontal="left" wrapText="1"/>
    </xf>
    <xf numFmtId="3" fontId="7" fillId="0" borderId="1" xfId="3" applyNumberFormat="1" applyFont="1" applyFill="1" applyBorder="1" applyAlignment="1">
      <alignment horizontal="left" vertical="center"/>
    </xf>
    <xf numFmtId="0" fontId="5" fillId="3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9" fillId="0" borderId="0" xfId="0" applyFont="1"/>
    <xf numFmtId="4" fontId="0" fillId="0" borderId="0" xfId="0" applyNumberFormat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6" xfId="0" applyBorder="1" applyAlignment="1"/>
    <xf numFmtId="0" fontId="0" fillId="0" borderId="0" xfId="0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10" fillId="0" borderId="21" xfId="0" applyFont="1" applyBorder="1"/>
    <xf numFmtId="166" fontId="10" fillId="0" borderId="22" xfId="0" applyNumberFormat="1" applyFont="1" applyBorder="1"/>
    <xf numFmtId="166" fontId="10" fillId="0" borderId="23" xfId="0" applyNumberFormat="1" applyFont="1" applyBorder="1"/>
    <xf numFmtId="166" fontId="10" fillId="0" borderId="24" xfId="0" applyNumberFormat="1" applyFont="1" applyBorder="1"/>
    <xf numFmtId="3" fontId="10" fillId="0" borderId="24" xfId="0" applyNumberFormat="1" applyFont="1" applyBorder="1"/>
    <xf numFmtId="0" fontId="0" fillId="0" borderId="25" xfId="0" applyBorder="1"/>
    <xf numFmtId="166" fontId="0" fillId="0" borderId="26" xfId="0" applyNumberFormat="1" applyBorder="1"/>
    <xf numFmtId="3" fontId="0" fillId="0" borderId="27" xfId="0" applyNumberFormat="1" applyBorder="1"/>
    <xf numFmtId="166" fontId="0" fillId="0" borderId="28" xfId="0" applyNumberFormat="1" applyBorder="1"/>
    <xf numFmtId="3" fontId="0" fillId="0" borderId="28" xfId="0" applyNumberFormat="1" applyBorder="1"/>
    <xf numFmtId="166" fontId="0" fillId="0" borderId="27" xfId="0" applyNumberFormat="1" applyBorder="1"/>
    <xf numFmtId="0" fontId="0" fillId="0" borderId="29" xfId="0" applyBorder="1"/>
    <xf numFmtId="166" fontId="0" fillId="0" borderId="30" xfId="0" applyNumberFormat="1" applyBorder="1"/>
    <xf numFmtId="166" fontId="0" fillId="0" borderId="31" xfId="0" applyNumberFormat="1" applyBorder="1"/>
    <xf numFmtId="3" fontId="0" fillId="0" borderId="31" xfId="0" applyNumberFormat="1" applyBorder="1"/>
    <xf numFmtId="0" fontId="0" fillId="4" borderId="0" xfId="0" applyFill="1"/>
    <xf numFmtId="166" fontId="0" fillId="0" borderId="32" xfId="0" applyNumberFormat="1" applyBorder="1"/>
    <xf numFmtId="0" fontId="0" fillId="0" borderId="8" xfId="0" pivotButton="1" applyBorder="1"/>
    <xf numFmtId="0" fontId="0" fillId="0" borderId="36" xfId="0" applyBorder="1"/>
    <xf numFmtId="0" fontId="0" fillId="0" borderId="37" xfId="0" applyBorder="1"/>
    <xf numFmtId="4" fontId="0" fillId="0" borderId="8" xfId="0" applyNumberFormat="1" applyBorder="1"/>
    <xf numFmtId="4" fontId="0" fillId="0" borderId="35" xfId="0" applyNumberFormat="1" applyBorder="1"/>
    <xf numFmtId="4" fontId="0" fillId="0" borderId="38" xfId="0" applyNumberFormat="1" applyBorder="1"/>
    <xf numFmtId="4" fontId="0" fillId="0" borderId="37" xfId="0" applyNumberFormat="1" applyBorder="1"/>
    <xf numFmtId="4" fontId="0" fillId="0" borderId="39" xfId="0" applyNumberFormat="1" applyBorder="1"/>
    <xf numFmtId="4" fontId="0" fillId="0" borderId="40" xfId="0" applyNumberFormat="1" applyBorder="1"/>
    <xf numFmtId="0" fontId="1" fillId="0" borderId="8" xfId="0" pivotButton="1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5" fillId="2" borderId="1" xfId="1" applyFont="1" applyFill="1" applyBorder="1" applyAlignment="1">
      <alignment horizontal="center"/>
    </xf>
    <xf numFmtId="0" fontId="1" fillId="0" borderId="0" xfId="0" applyFont="1"/>
    <xf numFmtId="0" fontId="5" fillId="5" borderId="1" xfId="1" applyNumberFormat="1" applyFont="1" applyFill="1" applyBorder="1" applyAlignment="1">
      <alignment horizontal="center" vertical="center" wrapText="1"/>
    </xf>
    <xf numFmtId="3" fontId="5" fillId="5" borderId="1" xfId="1" applyNumberFormat="1" applyFont="1" applyFill="1" applyBorder="1" applyAlignment="1">
      <alignment horizontal="center" vertical="center" wrapText="1"/>
    </xf>
    <xf numFmtId="3" fontId="5" fillId="5" borderId="1" xfId="2" applyNumberFormat="1" applyFont="1" applyFill="1" applyBorder="1" applyAlignment="1" applyProtection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/>
    </xf>
    <xf numFmtId="0" fontId="5" fillId="7" borderId="0" xfId="0" applyFont="1" applyFill="1" applyAlignment="1">
      <alignment horizontal="center" vertical="center"/>
    </xf>
    <xf numFmtId="165" fontId="5" fillId="7" borderId="1" xfId="1" applyNumberFormat="1" applyFont="1" applyFill="1" applyBorder="1"/>
    <xf numFmtId="49" fontId="9" fillId="0" borderId="5" xfId="0" applyNumberFormat="1" applyFont="1" applyFill="1" applyBorder="1"/>
    <xf numFmtId="0" fontId="0" fillId="0" borderId="0" xfId="0" applyFill="1"/>
    <xf numFmtId="0" fontId="3" fillId="0" borderId="7" xfId="0" applyFont="1" applyFill="1" applyBorder="1"/>
    <xf numFmtId="0" fontId="9" fillId="0" borderId="0" xfId="0" applyFont="1" applyFill="1"/>
    <xf numFmtId="4" fontId="9" fillId="7" borderId="5" xfId="0" applyNumberFormat="1" applyFont="1" applyFill="1" applyBorder="1"/>
    <xf numFmtId="0" fontId="0" fillId="7" borderId="0" xfId="0" applyFill="1"/>
    <xf numFmtId="4" fontId="1" fillId="7" borderId="0" xfId="0" applyNumberFormat="1" applyFont="1" applyFill="1"/>
    <xf numFmtId="0" fontId="3" fillId="5" borderId="6" xfId="0" applyFont="1" applyFill="1" applyBorder="1"/>
    <xf numFmtId="0" fontId="0" fillId="5" borderId="0" xfId="0" applyFill="1"/>
    <xf numFmtId="0" fontId="5" fillId="6" borderId="1" xfId="0" applyFont="1" applyFill="1" applyBorder="1" applyAlignment="1">
      <alignment horizontal="center" vertical="center"/>
    </xf>
    <xf numFmtId="0" fontId="3" fillId="6" borderId="7" xfId="0" applyFont="1" applyFill="1" applyBorder="1"/>
    <xf numFmtId="0" fontId="0" fillId="6" borderId="0" xfId="0" applyFill="1"/>
    <xf numFmtId="0" fontId="1" fillId="5" borderId="8" xfId="0" applyFont="1" applyFill="1" applyBorder="1" applyAlignment="1">
      <alignment horizontal="center"/>
    </xf>
    <xf numFmtId="0" fontId="1" fillId="5" borderId="34" xfId="0" applyFont="1" applyFill="1" applyBorder="1" applyAlignment="1">
      <alignment horizontal="center"/>
    </xf>
    <xf numFmtId="4" fontId="3" fillId="0" borderId="1" xfId="1" applyNumberFormat="1" applyFont="1" applyFill="1" applyBorder="1"/>
    <xf numFmtId="4" fontId="0" fillId="7" borderId="0" xfId="0" applyNumberFormat="1" applyFill="1"/>
    <xf numFmtId="0" fontId="0" fillId="0" borderId="0" xfId="0" applyNumberFormat="1"/>
    <xf numFmtId="0" fontId="3" fillId="5" borderId="0" xfId="1" applyFont="1" applyFill="1" applyBorder="1" applyAlignment="1">
      <alignment horizontal="left"/>
    </xf>
    <xf numFmtId="17" fontId="1" fillId="0" borderId="0" xfId="0" applyNumberFormat="1" applyFont="1"/>
    <xf numFmtId="0" fontId="0" fillId="0" borderId="1" xfId="0" applyBorder="1"/>
    <xf numFmtId="167" fontId="0" fillId="0" borderId="1" xfId="4" applyNumberFormat="1" applyFont="1" applyBorder="1"/>
    <xf numFmtId="167" fontId="0" fillId="0" borderId="0" xfId="0" applyNumberFormat="1"/>
    <xf numFmtId="0" fontId="1" fillId="0" borderId="1" xfId="0" applyFont="1" applyBorder="1"/>
    <xf numFmtId="0" fontId="0" fillId="0" borderId="1" xfId="0" applyBorder="1" applyAlignment="1">
      <alignment horizontal="center" vertical="center"/>
    </xf>
    <xf numFmtId="0" fontId="17" fillId="9" borderId="41" xfId="0" applyFont="1" applyFill="1" applyBorder="1" applyAlignment="1">
      <alignment horizontal="center" vertical="center" wrapText="1"/>
    </xf>
    <xf numFmtId="0" fontId="17" fillId="9" borderId="16" xfId="0" applyFont="1" applyFill="1" applyBorder="1" applyAlignment="1">
      <alignment horizontal="center" vertical="center" wrapText="1"/>
    </xf>
    <xf numFmtId="0" fontId="16" fillId="0" borderId="42" xfId="0" applyFont="1" applyBorder="1" applyAlignment="1">
      <alignment horizontal="justify" vertical="center" wrapText="1"/>
    </xf>
    <xf numFmtId="0" fontId="16" fillId="0" borderId="43" xfId="0" applyFont="1" applyBorder="1" applyAlignment="1">
      <alignment horizontal="center" vertical="center" wrapText="1"/>
    </xf>
    <xf numFmtId="3" fontId="16" fillId="0" borderId="43" xfId="0" applyNumberFormat="1" applyFont="1" applyBorder="1" applyAlignment="1">
      <alignment horizontal="center" vertical="center" wrapText="1"/>
    </xf>
    <xf numFmtId="0" fontId="16" fillId="0" borderId="43" xfId="0" applyFont="1" applyBorder="1" applyAlignment="1">
      <alignment horizontal="justify" vertical="center" wrapText="1"/>
    </xf>
    <xf numFmtId="0" fontId="16" fillId="0" borderId="0" xfId="0" applyFont="1" applyAlignment="1">
      <alignment horizontal="justify" vertical="center"/>
    </xf>
    <xf numFmtId="0" fontId="15" fillId="0" borderId="1" xfId="0" applyFont="1" applyBorder="1" applyAlignment="1">
      <alignment vertical="center" wrapText="1"/>
    </xf>
    <xf numFmtId="3" fontId="15" fillId="0" borderId="1" xfId="0" applyNumberFormat="1" applyFont="1" applyBorder="1" applyAlignment="1">
      <alignment horizontal="center" vertical="center" wrapText="1"/>
    </xf>
    <xf numFmtId="9" fontId="15" fillId="0" borderId="1" xfId="0" applyNumberFormat="1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8" fillId="9" borderId="1" xfId="0" applyFont="1" applyFill="1" applyBorder="1" applyAlignment="1">
      <alignment horizontal="center" vertical="center" wrapText="1"/>
    </xf>
    <xf numFmtId="0" fontId="14" fillId="0" borderId="0" xfId="0" applyFont="1"/>
    <xf numFmtId="167" fontId="0" fillId="5" borderId="0" xfId="0" applyNumberFormat="1" applyFill="1" applyAlignment="1"/>
    <xf numFmtId="0" fontId="14" fillId="5" borderId="0" xfId="0" applyFont="1" applyFill="1"/>
    <xf numFmtId="0" fontId="14" fillId="0" borderId="0" xfId="0" applyFont="1" applyAlignment="1">
      <alignment horizontal="left" indent="1"/>
    </xf>
    <xf numFmtId="164" fontId="15" fillId="0" borderId="1" xfId="4" applyFont="1" applyBorder="1" applyAlignment="1">
      <alignment horizontal="center" vertical="center" wrapText="1"/>
    </xf>
    <xf numFmtId="0" fontId="0" fillId="5" borderId="0" xfId="0" applyFill="1" applyAlignment="1">
      <alignment horizontal="left" wrapText="1"/>
    </xf>
    <xf numFmtId="0" fontId="0" fillId="5" borderId="0" xfId="0" applyFill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16" fillId="5" borderId="0" xfId="0" applyFont="1" applyFill="1" applyAlignment="1">
      <alignment horizontal="left" vertical="center" wrapText="1"/>
    </xf>
    <xf numFmtId="0" fontId="18" fillId="9" borderId="2" xfId="0" applyFont="1" applyFill="1" applyBorder="1" applyAlignment="1">
      <alignment horizontal="center" vertical="center" wrapText="1"/>
    </xf>
    <xf numFmtId="0" fontId="18" fillId="9" borderId="4" xfId="0" applyFont="1" applyFill="1" applyBorder="1" applyAlignment="1">
      <alignment horizontal="center" vertical="center" wrapText="1"/>
    </xf>
    <xf numFmtId="2" fontId="5" fillId="2" borderId="3" xfId="2" applyNumberFormat="1" applyFont="1" applyFill="1" applyBorder="1" applyAlignment="1" applyProtection="1">
      <alignment horizontal="right" vertical="center"/>
    </xf>
    <xf numFmtId="2" fontId="5" fillId="2" borderId="4" xfId="2" applyNumberFormat="1" applyFont="1" applyFill="1" applyBorder="1" applyAlignment="1" applyProtection="1">
      <alignment horizontal="right" vertical="center"/>
    </xf>
    <xf numFmtId="3" fontId="5" fillId="5" borderId="1" xfId="1" applyNumberFormat="1" applyFont="1" applyFill="1" applyBorder="1" applyAlignment="1">
      <alignment horizontal="center" vertical="center" wrapText="1"/>
    </xf>
    <xf numFmtId="3" fontId="5" fillId="5" borderId="1" xfId="2" applyNumberFormat="1" applyFont="1" applyFill="1" applyBorder="1" applyAlignment="1" applyProtection="1">
      <alignment horizontal="center" vertical="center" wrapText="1"/>
    </xf>
    <xf numFmtId="2" fontId="5" fillId="8" borderId="2" xfId="2" applyNumberFormat="1" applyFont="1" applyFill="1" applyBorder="1" applyAlignment="1" applyProtection="1">
      <alignment horizontal="center" vertical="center" wrapText="1"/>
    </xf>
    <xf numFmtId="2" fontId="5" fillId="8" borderId="4" xfId="2" applyNumberFormat="1" applyFont="1" applyFill="1" applyBorder="1" applyAlignment="1" applyProtection="1">
      <alignment horizontal="center" vertical="center" wrapText="1"/>
    </xf>
    <xf numFmtId="2" fontId="5" fillId="6" borderId="2" xfId="2" applyNumberFormat="1" applyFont="1" applyFill="1" applyBorder="1" applyAlignment="1" applyProtection="1">
      <alignment horizontal="center" vertical="center"/>
    </xf>
    <xf numFmtId="2" fontId="5" fillId="6" borderId="4" xfId="2" applyNumberFormat="1" applyFont="1" applyFill="1" applyBorder="1" applyAlignment="1" applyProtection="1">
      <alignment horizontal="center" vertical="center"/>
    </xf>
    <xf numFmtId="0" fontId="11" fillId="5" borderId="33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</cellXfs>
  <cellStyles count="5">
    <cellStyle name="=C:\WINNT35\SYSTEM32\COMMAND.COM" xfId="1" xr:uid="{00000000-0005-0000-0000-000000000000}"/>
    <cellStyle name="Обычный" xfId="0" builtinId="0"/>
    <cellStyle name="Обычный_Бизнес план_КВ Защита 21.08.06г." xfId="3" xr:uid="{00000000-0005-0000-0000-000002000000}"/>
    <cellStyle name="Стиль 1" xfId="2" xr:uid="{00000000-0005-0000-0000-000003000000}"/>
    <cellStyle name="Финансовый" xfId="4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139700</xdr:colOff>
          <xdr:row>0</xdr:row>
          <xdr:rowOff>0</xdr:rowOff>
        </xdr:from>
        <xdr:to>
          <xdr:col>10</xdr:col>
          <xdr:colOff>482600</xdr:colOff>
          <xdr:row>2</xdr:row>
          <xdr:rowOff>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7</xdr:row>
      <xdr:rowOff>171450</xdr:rowOff>
    </xdr:from>
    <xdr:to>
      <xdr:col>18</xdr:col>
      <xdr:colOff>38100</xdr:colOff>
      <xdr:row>30</xdr:row>
      <xdr:rowOff>180975</xdr:rowOff>
    </xdr:to>
    <xdr:pic>
      <xdr:nvPicPr>
        <xdr:cNvPr id="2050" name="Picture 2">
          <a:extLst>
            <a:ext uri="{FF2B5EF4-FFF2-40B4-BE49-F238E27FC236}">
              <a16:creationId xmlns:a16="http://schemas.microsoft.com/office/drawing/2014/main" id="{00000000-0008-0000-0600-00000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7725" y="2114550"/>
          <a:ext cx="10163175" cy="43910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B0F0"/>
  </sheetPr>
  <dimension ref="A1:L22"/>
  <sheetViews>
    <sheetView workbookViewId="0">
      <selection activeCell="C20" sqref="C20"/>
    </sheetView>
  </sheetViews>
  <sheetFormatPr baseColWidth="10" defaultColWidth="8.83203125" defaultRowHeight="15"/>
  <cols>
    <col min="1" max="1" width="29" customWidth="1"/>
    <col min="2" max="2" width="16" customWidth="1"/>
    <col min="3" max="3" width="16.33203125" customWidth="1"/>
    <col min="4" max="6" width="13.6640625" customWidth="1"/>
    <col min="7" max="7" width="12" bestFit="1" customWidth="1"/>
  </cols>
  <sheetData>
    <row r="1" spans="1:12" ht="18.75" customHeight="1">
      <c r="A1" s="97" t="s">
        <v>293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</row>
    <row r="3" spans="1:12">
      <c r="A3" s="74" t="s">
        <v>241</v>
      </c>
    </row>
    <row r="4" spans="1:12">
      <c r="A4" s="101" t="s">
        <v>240</v>
      </c>
      <c r="B4" s="101" t="s">
        <v>257</v>
      </c>
      <c r="C4" s="100" t="s">
        <v>263</v>
      </c>
      <c r="D4" s="99" t="s">
        <v>258</v>
      </c>
      <c r="E4" s="99"/>
      <c r="F4" s="99"/>
    </row>
    <row r="5" spans="1:12" ht="45" customHeight="1">
      <c r="A5" s="101"/>
      <c r="B5" s="101"/>
      <c r="C5" s="100"/>
      <c r="D5" s="79" t="s">
        <v>254</v>
      </c>
      <c r="E5" s="79" t="s">
        <v>255</v>
      </c>
      <c r="F5" s="79" t="s">
        <v>256</v>
      </c>
    </row>
    <row r="6" spans="1:12">
      <c r="A6" s="75" t="s">
        <v>242</v>
      </c>
      <c r="B6" s="75" t="s">
        <v>243</v>
      </c>
      <c r="C6" s="76">
        <v>94267.98913343258</v>
      </c>
      <c r="D6" s="75">
        <v>1</v>
      </c>
      <c r="E6" s="75">
        <v>1</v>
      </c>
      <c r="F6" s="75">
        <v>1</v>
      </c>
      <c r="G6" s="77"/>
      <c r="H6" s="77"/>
      <c r="I6" s="77"/>
    </row>
    <row r="7" spans="1:12">
      <c r="A7" s="75" t="s">
        <v>244</v>
      </c>
      <c r="B7" s="75" t="s">
        <v>243</v>
      </c>
      <c r="C7" s="76">
        <v>82955.830437420678</v>
      </c>
      <c r="D7" s="75">
        <v>1</v>
      </c>
      <c r="E7" s="75">
        <v>1</v>
      </c>
      <c r="F7" s="75">
        <v>2</v>
      </c>
      <c r="G7" s="77"/>
      <c r="H7" s="77"/>
      <c r="I7" s="77"/>
    </row>
    <row r="8" spans="1:12">
      <c r="A8" s="75" t="s">
        <v>245</v>
      </c>
      <c r="B8" s="75" t="s">
        <v>246</v>
      </c>
      <c r="C8" s="76">
        <v>66364.664349936545</v>
      </c>
      <c r="D8" s="75">
        <v>2</v>
      </c>
      <c r="E8" s="75">
        <v>3</v>
      </c>
      <c r="F8" s="75">
        <v>3</v>
      </c>
      <c r="G8" s="77"/>
      <c r="H8" s="77"/>
      <c r="I8" s="77"/>
    </row>
    <row r="9" spans="1:12">
      <c r="A9" s="75" t="s">
        <v>247</v>
      </c>
      <c r="B9" s="75" t="s">
        <v>246</v>
      </c>
      <c r="C9" s="76">
        <v>59728.197914942895</v>
      </c>
      <c r="D9" s="75">
        <v>3</v>
      </c>
      <c r="E9" s="75">
        <v>2</v>
      </c>
      <c r="F9" s="75">
        <v>3</v>
      </c>
      <c r="G9" s="77"/>
      <c r="H9" s="77"/>
      <c r="I9" s="77"/>
    </row>
    <row r="10" spans="1:12">
      <c r="A10" s="75" t="s">
        <v>248</v>
      </c>
      <c r="B10" s="75" t="s">
        <v>246</v>
      </c>
      <c r="C10" s="76">
        <v>59728.197914942895</v>
      </c>
      <c r="D10" s="75">
        <v>1</v>
      </c>
      <c r="E10" s="75">
        <v>1</v>
      </c>
      <c r="F10" s="75">
        <v>2</v>
      </c>
      <c r="G10" s="77"/>
      <c r="H10" s="77"/>
      <c r="I10" s="77"/>
    </row>
    <row r="11" spans="1:12">
      <c r="A11" s="75" t="s">
        <v>249</v>
      </c>
      <c r="B11" s="75" t="s">
        <v>246</v>
      </c>
      <c r="C11" s="76">
        <v>56741.788019195745</v>
      </c>
      <c r="D11" s="75">
        <v>1</v>
      </c>
      <c r="E11" s="75">
        <v>2</v>
      </c>
      <c r="F11" s="75">
        <v>1</v>
      </c>
      <c r="G11" s="77"/>
      <c r="H11" s="77"/>
      <c r="I11" s="77"/>
    </row>
    <row r="12" spans="1:12">
      <c r="A12" s="75" t="s">
        <v>250</v>
      </c>
      <c r="B12" s="75" t="s">
        <v>243</v>
      </c>
      <c r="C12" s="76">
        <v>66364.664349936545</v>
      </c>
      <c r="D12" s="75">
        <v>1</v>
      </c>
      <c r="E12" s="75">
        <v>3</v>
      </c>
      <c r="F12" s="75">
        <v>4</v>
      </c>
      <c r="G12" s="77"/>
      <c r="H12" s="77"/>
      <c r="I12" s="77"/>
    </row>
    <row r="13" spans="1:12">
      <c r="A13" s="75" t="s">
        <v>251</v>
      </c>
      <c r="B13" s="75" t="s">
        <v>252</v>
      </c>
      <c r="C13" s="76">
        <v>41809.738540460021</v>
      </c>
      <c r="D13" s="75">
        <v>5</v>
      </c>
      <c r="E13" s="75">
        <v>10</v>
      </c>
      <c r="F13" s="75">
        <v>20</v>
      </c>
      <c r="G13" s="77"/>
      <c r="H13" s="77"/>
      <c r="I13" s="77"/>
    </row>
    <row r="14" spans="1:12">
      <c r="A14" s="75" t="s">
        <v>253</v>
      </c>
      <c r="B14" s="75" t="s">
        <v>252</v>
      </c>
      <c r="C14" s="76">
        <v>37628.764686414019</v>
      </c>
      <c r="D14" s="75">
        <v>4</v>
      </c>
      <c r="E14" s="75">
        <v>12</v>
      </c>
      <c r="F14" s="75">
        <v>15</v>
      </c>
      <c r="G14" s="77"/>
      <c r="H14" s="77"/>
      <c r="I14" s="77"/>
    </row>
    <row r="15" spans="1:12">
      <c r="A15" s="78" t="s">
        <v>208</v>
      </c>
      <c r="B15" s="75"/>
      <c r="C15" s="76"/>
      <c r="D15" s="78">
        <f>SUM(D6:D14)</f>
        <v>19</v>
      </c>
      <c r="E15" s="78">
        <f>SUM(E6:E14)</f>
        <v>35</v>
      </c>
      <c r="F15" s="78">
        <f>SUM(F6:F14)</f>
        <v>51</v>
      </c>
      <c r="G15" s="77"/>
      <c r="H15" s="77"/>
      <c r="I15" s="77"/>
    </row>
    <row r="16" spans="1:12">
      <c r="C16" s="77"/>
      <c r="G16" s="77"/>
      <c r="H16" s="77"/>
      <c r="I16" s="77"/>
    </row>
    <row r="17" spans="1:9">
      <c r="C17" s="77"/>
    </row>
    <row r="18" spans="1:9">
      <c r="A18" s="48" t="s">
        <v>275</v>
      </c>
      <c r="D18" s="77"/>
      <c r="E18" s="93"/>
      <c r="F18" t="s">
        <v>274</v>
      </c>
    </row>
    <row r="19" spans="1:9">
      <c r="A19" s="92" t="s">
        <v>259</v>
      </c>
      <c r="C19" s="77"/>
      <c r="G19" s="77"/>
      <c r="H19" s="77"/>
      <c r="I19" s="77"/>
    </row>
    <row r="20" spans="1:9" s="92" customFormat="1" ht="15" customHeight="1">
      <c r="A20" s="95" t="s">
        <v>260</v>
      </c>
      <c r="E20" s="94"/>
      <c r="F20" s="92" t="s">
        <v>274</v>
      </c>
    </row>
    <row r="21" spans="1:9" s="92" customFormat="1" ht="15" customHeight="1">
      <c r="A21" s="95" t="s">
        <v>261</v>
      </c>
      <c r="E21" s="94"/>
      <c r="F21" s="92" t="s">
        <v>274</v>
      </c>
    </row>
    <row r="22" spans="1:9" s="92" customFormat="1" ht="15" customHeight="1">
      <c r="A22" s="95" t="s">
        <v>262</v>
      </c>
      <c r="E22" s="94"/>
      <c r="F22" s="92" t="s">
        <v>274</v>
      </c>
    </row>
  </sheetData>
  <mergeCells count="5">
    <mergeCell ref="A1:L1"/>
    <mergeCell ref="D4:F4"/>
    <mergeCell ref="C4:C5"/>
    <mergeCell ref="B4:B5"/>
    <mergeCell ref="A4:A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B0F0"/>
  </sheetPr>
  <dimension ref="A1:L7"/>
  <sheetViews>
    <sheetView workbookViewId="0">
      <selection activeCell="A8" sqref="A8"/>
    </sheetView>
  </sheetViews>
  <sheetFormatPr baseColWidth="10" defaultColWidth="8.83203125" defaultRowHeight="15"/>
  <cols>
    <col min="1" max="1" width="29" customWidth="1"/>
    <col min="2" max="2" width="11" customWidth="1"/>
    <col min="3" max="3" width="20.83203125" customWidth="1"/>
    <col min="4" max="5" width="18" customWidth="1"/>
    <col min="6" max="6" width="16.6640625" customWidth="1"/>
    <col min="7" max="7" width="23.5" customWidth="1"/>
  </cols>
  <sheetData>
    <row r="1" spans="1:12" ht="30" customHeight="1">
      <c r="A1" s="97" t="s">
        <v>292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</row>
    <row r="2" spans="1:12" ht="16" thickBot="1"/>
    <row r="3" spans="1:12" ht="61" thickBot="1">
      <c r="A3" s="80" t="s">
        <v>264</v>
      </c>
      <c r="B3" s="81" t="s">
        <v>265</v>
      </c>
      <c r="C3" s="81" t="s">
        <v>266</v>
      </c>
      <c r="D3" s="81" t="s">
        <v>267</v>
      </c>
      <c r="E3" s="81" t="s">
        <v>268</v>
      </c>
      <c r="F3" s="81" t="s">
        <v>269</v>
      </c>
      <c r="G3" s="81" t="s">
        <v>270</v>
      </c>
    </row>
    <row r="4" spans="1:12" ht="18" thickBot="1">
      <c r="A4" s="82" t="s">
        <v>271</v>
      </c>
      <c r="B4" s="83">
        <v>80</v>
      </c>
      <c r="C4" s="84">
        <v>20000</v>
      </c>
      <c r="D4" s="84">
        <v>20000</v>
      </c>
      <c r="E4" s="85"/>
      <c r="F4" s="85"/>
      <c r="G4" s="85"/>
    </row>
    <row r="5" spans="1:12" ht="18" thickBot="1">
      <c r="A5" s="82" t="s">
        <v>272</v>
      </c>
      <c r="B5" s="83">
        <v>75</v>
      </c>
      <c r="C5" s="84">
        <v>21000</v>
      </c>
      <c r="D5" s="84">
        <v>21000</v>
      </c>
      <c r="E5" s="85"/>
      <c r="F5" s="85"/>
      <c r="G5" s="85"/>
    </row>
    <row r="6" spans="1:12" ht="18" thickBot="1">
      <c r="A6" s="82" t="s">
        <v>273</v>
      </c>
      <c r="B6" s="83">
        <v>125</v>
      </c>
      <c r="C6" s="84">
        <v>19000</v>
      </c>
      <c r="D6" s="84">
        <v>19000</v>
      </c>
      <c r="E6" s="85"/>
      <c r="F6" s="85"/>
      <c r="G6" s="85"/>
    </row>
    <row r="7" spans="1:12" ht="18" thickBot="1">
      <c r="A7" s="82" t="s">
        <v>208</v>
      </c>
      <c r="B7" s="85"/>
      <c r="C7" s="85"/>
      <c r="D7" s="85"/>
      <c r="E7" s="85"/>
      <c r="F7" s="85"/>
      <c r="G7" s="85"/>
    </row>
  </sheetData>
  <mergeCells count="1">
    <mergeCell ref="A1:L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B0F0"/>
  </sheetPr>
  <dimension ref="A1:G11"/>
  <sheetViews>
    <sheetView tabSelected="1" workbookViewId="0">
      <selection activeCell="B13" sqref="B13"/>
    </sheetView>
  </sheetViews>
  <sheetFormatPr baseColWidth="10" defaultColWidth="8.83203125" defaultRowHeight="15"/>
  <cols>
    <col min="1" max="1" width="29" customWidth="1"/>
    <col min="2" max="2" width="21.1640625" customWidth="1"/>
    <col min="3" max="3" width="18" customWidth="1"/>
    <col min="4" max="4" width="17.33203125" customWidth="1"/>
    <col min="5" max="5" width="19.33203125" customWidth="1"/>
    <col min="6" max="6" width="23.5" customWidth="1"/>
    <col min="7" max="7" width="18.5" customWidth="1"/>
  </cols>
  <sheetData>
    <row r="1" spans="1:7" ht="59.25" customHeight="1">
      <c r="A1" s="103" t="s">
        <v>294</v>
      </c>
      <c r="B1" s="103"/>
      <c r="C1" s="103"/>
      <c r="D1" s="103"/>
      <c r="E1" s="103"/>
      <c r="F1" s="103"/>
      <c r="G1" s="103"/>
    </row>
    <row r="2" spans="1:7" ht="16">
      <c r="A2" s="86"/>
    </row>
    <row r="3" spans="1:7" ht="41.25" customHeight="1">
      <c r="A3" s="104" t="s">
        <v>276</v>
      </c>
      <c r="B3" s="104" t="s">
        <v>277</v>
      </c>
      <c r="C3" s="104" t="s">
        <v>278</v>
      </c>
      <c r="D3" s="104" t="s">
        <v>279</v>
      </c>
      <c r="E3" s="91" t="s">
        <v>280</v>
      </c>
      <c r="F3" s="104" t="s">
        <v>282</v>
      </c>
      <c r="G3" s="104" t="s">
        <v>283</v>
      </c>
    </row>
    <row r="4" spans="1:7" ht="28">
      <c r="A4" s="105"/>
      <c r="B4" s="105"/>
      <c r="C4" s="105"/>
      <c r="D4" s="105"/>
      <c r="E4" s="91" t="s">
        <v>281</v>
      </c>
      <c r="F4" s="105"/>
      <c r="G4" s="105"/>
    </row>
    <row r="5" spans="1:7" ht="26.25" customHeight="1">
      <c r="A5" s="87" t="s">
        <v>284</v>
      </c>
      <c r="B5" s="87" t="s">
        <v>285</v>
      </c>
      <c r="C5" s="88">
        <v>41800</v>
      </c>
      <c r="D5" s="89">
        <v>0.1</v>
      </c>
      <c r="E5" s="89">
        <v>0.3</v>
      </c>
      <c r="F5" s="90"/>
      <c r="G5" s="90"/>
    </row>
    <row r="6" spans="1:7">
      <c r="A6" s="87" t="s">
        <v>286</v>
      </c>
      <c r="B6" s="87" t="s">
        <v>272</v>
      </c>
      <c r="C6" s="88">
        <v>17800</v>
      </c>
      <c r="D6" s="90"/>
      <c r="E6" s="89">
        <v>0.25</v>
      </c>
      <c r="F6" s="90"/>
      <c r="G6" s="90"/>
    </row>
    <row r="7" spans="1:7">
      <c r="A7" s="87" t="s">
        <v>287</v>
      </c>
      <c r="B7" s="87" t="s">
        <v>288</v>
      </c>
      <c r="C7" s="88">
        <v>19500</v>
      </c>
      <c r="D7" s="89">
        <v>0.15</v>
      </c>
      <c r="E7" s="89">
        <v>0.3</v>
      </c>
      <c r="F7" s="90"/>
      <c r="G7" s="90"/>
    </row>
    <row r="8" spans="1:7">
      <c r="A8" s="87" t="s">
        <v>289</v>
      </c>
      <c r="B8" s="87" t="s">
        <v>290</v>
      </c>
      <c r="C8" s="88">
        <v>27100</v>
      </c>
      <c r="D8" s="90"/>
      <c r="E8" s="89">
        <v>0.4</v>
      </c>
      <c r="F8" s="96"/>
      <c r="G8" s="90"/>
    </row>
    <row r="9" spans="1:7">
      <c r="A9" s="87" t="s">
        <v>208</v>
      </c>
      <c r="B9" s="87"/>
      <c r="C9" s="90"/>
      <c r="D9" s="90"/>
      <c r="E9" s="90"/>
      <c r="F9" s="90"/>
      <c r="G9" s="90"/>
    </row>
    <row r="11" spans="1:7" ht="46.5" customHeight="1">
      <c r="A11" s="102" t="s">
        <v>291</v>
      </c>
      <c r="B11" s="102"/>
      <c r="C11" s="102"/>
      <c r="D11" s="102"/>
      <c r="E11" s="102"/>
      <c r="F11" s="102"/>
      <c r="G11" s="102"/>
    </row>
  </sheetData>
  <mergeCells count="8">
    <mergeCell ref="A11:G11"/>
    <mergeCell ref="A1:G1"/>
    <mergeCell ref="F3:F4"/>
    <mergeCell ref="C3:C4"/>
    <mergeCell ref="B3:B4"/>
    <mergeCell ref="A3:A4"/>
    <mergeCell ref="D3:D4"/>
    <mergeCell ref="G3:G4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>
    <tabColor rgb="FF92D050"/>
  </sheetPr>
  <dimension ref="A1:HY161"/>
  <sheetViews>
    <sheetView zoomScaleNormal="100" workbookViewId="0">
      <selection activeCell="E16" sqref="E16"/>
    </sheetView>
  </sheetViews>
  <sheetFormatPr baseColWidth="10" defaultColWidth="8.83203125" defaultRowHeight="15"/>
  <cols>
    <col min="1" max="1" width="13.33203125" customWidth="1"/>
    <col min="2" max="2" width="43.33203125" customWidth="1"/>
    <col min="3" max="3" width="8.83203125" hidden="1" customWidth="1"/>
    <col min="4" max="4" width="14.5" style="61" customWidth="1"/>
    <col min="5" max="5" width="15.5" style="64" customWidth="1"/>
    <col min="6" max="6" width="24.1640625" style="67" customWidth="1"/>
    <col min="7" max="7" width="43.33203125" customWidth="1"/>
  </cols>
  <sheetData>
    <row r="1" spans="1:233">
      <c r="A1" s="4" t="s">
        <v>24</v>
      </c>
      <c r="B1" s="4" t="s">
        <v>236</v>
      </c>
      <c r="C1" s="4"/>
      <c r="D1" s="54" t="s">
        <v>235</v>
      </c>
      <c r="E1" s="52" t="s">
        <v>25</v>
      </c>
      <c r="F1" s="65" t="s">
        <v>233</v>
      </c>
      <c r="G1" s="5" t="s">
        <v>234</v>
      </c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C1" s="6"/>
      <c r="FD1" s="6"/>
      <c r="FE1" s="6"/>
      <c r="FF1" s="6"/>
      <c r="FG1" s="6"/>
      <c r="FH1" s="6"/>
      <c r="FI1" s="6"/>
      <c r="FJ1" s="6"/>
      <c r="FK1" s="6"/>
      <c r="FL1" s="6"/>
      <c r="FM1" s="6"/>
      <c r="FN1" s="6"/>
      <c r="FO1" s="6"/>
      <c r="FP1" s="6"/>
      <c r="FQ1" s="6"/>
      <c r="FR1" s="6"/>
      <c r="FS1" s="6"/>
      <c r="FT1" s="6"/>
      <c r="FU1" s="6"/>
      <c r="FV1" s="6"/>
      <c r="FW1" s="6"/>
      <c r="FX1" s="6"/>
      <c r="FY1" s="6"/>
      <c r="FZ1" s="6"/>
      <c r="GA1" s="6"/>
      <c r="GB1" s="6"/>
      <c r="GC1" s="6"/>
      <c r="GD1" s="6"/>
      <c r="GE1" s="6"/>
      <c r="GF1" s="6"/>
      <c r="GG1" s="6"/>
      <c r="GH1" s="6"/>
      <c r="GI1" s="6"/>
      <c r="GJ1" s="6"/>
      <c r="GK1" s="6"/>
      <c r="GL1" s="6"/>
      <c r="GM1" s="6"/>
      <c r="GN1" s="6"/>
      <c r="GO1" s="6"/>
      <c r="GP1" s="6"/>
      <c r="GQ1" s="6"/>
      <c r="GR1" s="6"/>
      <c r="GS1" s="6"/>
      <c r="GT1" s="6"/>
      <c r="GU1" s="6"/>
      <c r="GV1" s="6"/>
      <c r="GW1" s="6"/>
      <c r="GX1" s="6"/>
      <c r="GY1" s="6"/>
      <c r="GZ1" s="6"/>
      <c r="HA1" s="6"/>
      <c r="HB1" s="6"/>
      <c r="HC1" s="6"/>
      <c r="HD1" s="6"/>
      <c r="HE1" s="6"/>
      <c r="HF1" s="6"/>
      <c r="HG1" s="6"/>
      <c r="HH1" s="6"/>
      <c r="HI1" s="6"/>
      <c r="HJ1" s="6"/>
      <c r="HK1" s="6"/>
      <c r="HL1" s="6"/>
      <c r="HM1" s="6"/>
      <c r="HN1" s="6"/>
      <c r="HO1" s="6"/>
      <c r="HP1" s="6"/>
      <c r="HQ1" s="6"/>
      <c r="HR1" s="6"/>
      <c r="HS1" s="6"/>
      <c r="HT1" s="6"/>
      <c r="HU1" s="6"/>
      <c r="HV1" s="6"/>
      <c r="HW1" s="6"/>
      <c r="HX1" s="6"/>
      <c r="HY1" s="6"/>
    </row>
    <row r="2" spans="1:233">
      <c r="A2" s="56" t="s">
        <v>26</v>
      </c>
      <c r="B2" s="56" t="s">
        <v>27</v>
      </c>
      <c r="C2" s="56" t="s">
        <v>28</v>
      </c>
      <c r="D2" s="60">
        <v>507107.81</v>
      </c>
      <c r="E2" s="63" t="s">
        <v>22</v>
      </c>
      <c r="F2" s="66" t="s">
        <v>0</v>
      </c>
      <c r="G2" s="58" t="s">
        <v>33</v>
      </c>
      <c r="H2" s="59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</row>
    <row r="3" spans="1:233">
      <c r="A3" s="56" t="s">
        <v>26</v>
      </c>
      <c r="B3" s="56" t="s">
        <v>27</v>
      </c>
      <c r="C3" s="56" t="s">
        <v>29</v>
      </c>
      <c r="D3" s="60">
        <v>204900.91</v>
      </c>
      <c r="E3" s="63" t="s">
        <v>19</v>
      </c>
      <c r="F3" s="66" t="s">
        <v>0</v>
      </c>
      <c r="G3" s="58" t="s">
        <v>34</v>
      </c>
      <c r="H3" s="59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</row>
    <row r="4" spans="1:233">
      <c r="A4" s="56" t="s">
        <v>26</v>
      </c>
      <c r="B4" s="56" t="s">
        <v>27</v>
      </c>
      <c r="C4" s="56" t="s">
        <v>30</v>
      </c>
      <c r="D4" s="60">
        <v>34548.11</v>
      </c>
      <c r="E4" s="63" t="s">
        <v>18</v>
      </c>
      <c r="F4" s="66" t="s">
        <v>0</v>
      </c>
      <c r="G4" s="58" t="s">
        <v>35</v>
      </c>
      <c r="H4" s="59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</row>
    <row r="5" spans="1:233">
      <c r="A5" s="56" t="s">
        <v>31</v>
      </c>
      <c r="B5" s="56" t="s">
        <v>32</v>
      </c>
      <c r="C5" s="56" t="s">
        <v>30</v>
      </c>
      <c r="D5" s="60">
        <v>24860</v>
      </c>
      <c r="E5" s="63" t="s">
        <v>18</v>
      </c>
      <c r="F5" s="66" t="s">
        <v>1</v>
      </c>
      <c r="G5" s="58" t="s">
        <v>36</v>
      </c>
      <c r="H5" s="59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</row>
    <row r="6" spans="1:233">
      <c r="A6" s="56" t="s">
        <v>37</v>
      </c>
      <c r="B6" s="56" t="s">
        <v>38</v>
      </c>
      <c r="C6" s="56" t="s">
        <v>30</v>
      </c>
      <c r="D6" s="60">
        <v>33328.730000000003</v>
      </c>
      <c r="E6" s="63" t="s">
        <v>18</v>
      </c>
      <c r="F6" s="66" t="s">
        <v>11</v>
      </c>
      <c r="G6" s="58" t="s">
        <v>45</v>
      </c>
      <c r="H6" s="59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</row>
    <row r="7" spans="1:233">
      <c r="A7" s="56" t="s">
        <v>39</v>
      </c>
      <c r="B7" s="56" t="s">
        <v>40</v>
      </c>
      <c r="C7" s="56" t="s">
        <v>30</v>
      </c>
      <c r="D7" s="60">
        <v>24860</v>
      </c>
      <c r="E7" s="63" t="s">
        <v>18</v>
      </c>
      <c r="F7" s="66" t="s">
        <v>6</v>
      </c>
      <c r="G7" s="58" t="s">
        <v>46</v>
      </c>
      <c r="H7" s="59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</row>
    <row r="8" spans="1:233">
      <c r="A8" s="56" t="s">
        <v>39</v>
      </c>
      <c r="B8" s="56" t="s">
        <v>40</v>
      </c>
      <c r="C8" s="56" t="s">
        <v>30</v>
      </c>
      <c r="D8" s="60">
        <v>75163.02</v>
      </c>
      <c r="E8" s="63" t="s">
        <v>18</v>
      </c>
      <c r="F8" s="66" t="s">
        <v>6</v>
      </c>
      <c r="G8" s="58" t="s">
        <v>46</v>
      </c>
      <c r="H8" s="59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</row>
    <row r="9" spans="1:233">
      <c r="A9" s="56" t="s">
        <v>41</v>
      </c>
      <c r="B9" s="56" t="s">
        <v>42</v>
      </c>
      <c r="C9" s="56" t="s">
        <v>30</v>
      </c>
      <c r="D9" s="60">
        <v>-71970.14</v>
      </c>
      <c r="E9" s="63" t="s">
        <v>18</v>
      </c>
      <c r="F9" s="66" t="s">
        <v>14</v>
      </c>
      <c r="G9" s="58" t="s">
        <v>47</v>
      </c>
      <c r="H9" s="59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</row>
    <row r="10" spans="1:233">
      <c r="A10" s="56" t="s">
        <v>43</v>
      </c>
      <c r="B10" s="56" t="s">
        <v>44</v>
      </c>
      <c r="C10" s="56" t="s">
        <v>30</v>
      </c>
      <c r="D10" s="60">
        <v>24860</v>
      </c>
      <c r="E10" s="63" t="s">
        <v>18</v>
      </c>
      <c r="F10" s="66" t="s">
        <v>9</v>
      </c>
      <c r="G10" s="58" t="s">
        <v>48</v>
      </c>
      <c r="H10" s="59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</row>
    <row r="11" spans="1:233">
      <c r="A11" s="56" t="s">
        <v>49</v>
      </c>
      <c r="B11" s="56" t="s">
        <v>50</v>
      </c>
      <c r="C11" s="56" t="s">
        <v>28</v>
      </c>
      <c r="D11" s="60">
        <v>8621</v>
      </c>
      <c r="E11" s="63" t="s">
        <v>22</v>
      </c>
      <c r="F11" s="66" t="s">
        <v>9</v>
      </c>
      <c r="G11" s="58" t="s">
        <v>55</v>
      </c>
      <c r="H11" s="59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</row>
    <row r="12" spans="1:233">
      <c r="A12" s="56" t="s">
        <v>49</v>
      </c>
      <c r="B12" s="56" t="s">
        <v>50</v>
      </c>
      <c r="C12" s="56" t="s">
        <v>29</v>
      </c>
      <c r="D12" s="60">
        <v>1288436.3500000001</v>
      </c>
      <c r="E12" s="63" t="s">
        <v>19</v>
      </c>
      <c r="F12" s="66" t="s">
        <v>9</v>
      </c>
      <c r="G12" s="58" t="s">
        <v>56</v>
      </c>
      <c r="H12" s="59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</row>
    <row r="13" spans="1:233">
      <c r="A13" s="56" t="s">
        <v>49</v>
      </c>
      <c r="B13" s="56" t="s">
        <v>50</v>
      </c>
      <c r="C13" s="56" t="s">
        <v>30</v>
      </c>
      <c r="D13" s="60">
        <v>52084.11</v>
      </c>
      <c r="E13" s="63" t="s">
        <v>18</v>
      </c>
      <c r="F13" s="66" t="s">
        <v>9</v>
      </c>
      <c r="G13" s="58" t="s">
        <v>48</v>
      </c>
      <c r="H13" s="59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</row>
    <row r="14" spans="1:233">
      <c r="A14" s="56" t="s">
        <v>51</v>
      </c>
      <c r="B14" s="56" t="s">
        <v>52</v>
      </c>
      <c r="C14" s="56" t="s">
        <v>30</v>
      </c>
      <c r="D14" s="60">
        <v>22374</v>
      </c>
      <c r="E14" s="63" t="s">
        <v>18</v>
      </c>
      <c r="F14" s="66" t="s">
        <v>6</v>
      </c>
      <c r="G14" s="58" t="s">
        <v>46</v>
      </c>
      <c r="H14" s="59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</row>
    <row r="15" spans="1:233">
      <c r="A15" s="56" t="s">
        <v>53</v>
      </c>
      <c r="B15" s="56" t="s">
        <v>54</v>
      </c>
      <c r="C15" s="56" t="s">
        <v>29</v>
      </c>
      <c r="D15" s="60">
        <v>551504.5</v>
      </c>
      <c r="E15" s="63" t="s">
        <v>19</v>
      </c>
      <c r="F15" s="66" t="s">
        <v>57</v>
      </c>
      <c r="G15" s="58" t="s">
        <v>58</v>
      </c>
      <c r="H15" s="59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</row>
    <row r="16" spans="1:233">
      <c r="A16" s="56" t="s">
        <v>53</v>
      </c>
      <c r="B16" s="56" t="s">
        <v>54</v>
      </c>
      <c r="C16" s="56" t="s">
        <v>30</v>
      </c>
      <c r="D16" s="60">
        <v>52489.43</v>
      </c>
      <c r="E16" s="63" t="s">
        <v>18</v>
      </c>
      <c r="F16" s="66" t="s">
        <v>57</v>
      </c>
      <c r="G16" s="58" t="s">
        <v>59</v>
      </c>
      <c r="H16" s="59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</row>
    <row r="17" spans="1:233">
      <c r="A17" s="56" t="s">
        <v>60</v>
      </c>
      <c r="B17" s="56" t="s">
        <v>61</v>
      </c>
      <c r="C17" s="56" t="s">
        <v>28</v>
      </c>
      <c r="D17" s="60">
        <v>-286083</v>
      </c>
      <c r="E17" s="63" t="s">
        <v>22</v>
      </c>
      <c r="F17" s="66" t="s">
        <v>5</v>
      </c>
      <c r="G17" s="58" t="s">
        <v>62</v>
      </c>
      <c r="H17" s="59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</row>
    <row r="18" spans="1:233">
      <c r="A18" s="56" t="s">
        <v>60</v>
      </c>
      <c r="B18" s="56" t="s">
        <v>61</v>
      </c>
      <c r="C18" s="56" t="s">
        <v>28</v>
      </c>
      <c r="D18" s="60">
        <v>280159</v>
      </c>
      <c r="E18" s="63" t="s">
        <v>22</v>
      </c>
      <c r="F18" s="66" t="s">
        <v>5</v>
      </c>
      <c r="G18" s="58" t="s">
        <v>62</v>
      </c>
      <c r="H18" s="59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</row>
    <row r="19" spans="1:233">
      <c r="A19" s="56" t="s">
        <v>60</v>
      </c>
      <c r="B19" s="56" t="s">
        <v>61</v>
      </c>
      <c r="C19" s="56" t="s">
        <v>29</v>
      </c>
      <c r="D19" s="60">
        <v>-12543301</v>
      </c>
      <c r="E19" s="63" t="s">
        <v>19</v>
      </c>
      <c r="F19" s="66" t="s">
        <v>5</v>
      </c>
      <c r="G19" s="58" t="s">
        <v>63</v>
      </c>
      <c r="H19" s="59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</row>
    <row r="20" spans="1:233">
      <c r="A20" s="56" t="s">
        <v>60</v>
      </c>
      <c r="B20" s="56" t="s">
        <v>61</v>
      </c>
      <c r="C20" s="56" t="s">
        <v>29</v>
      </c>
      <c r="D20" s="60">
        <v>12019428</v>
      </c>
      <c r="E20" s="63" t="s">
        <v>19</v>
      </c>
      <c r="F20" s="66" t="s">
        <v>5</v>
      </c>
      <c r="G20" s="58" t="s">
        <v>63</v>
      </c>
      <c r="H20" s="59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</row>
    <row r="21" spans="1:233">
      <c r="A21" s="56" t="s">
        <v>64</v>
      </c>
      <c r="B21" s="56" t="s">
        <v>65</v>
      </c>
      <c r="C21" s="56" t="s">
        <v>29</v>
      </c>
      <c r="D21" s="60">
        <v>253276</v>
      </c>
      <c r="E21" s="63" t="s">
        <v>19</v>
      </c>
      <c r="F21" s="66" t="s">
        <v>1</v>
      </c>
      <c r="G21" s="58" t="s">
        <v>66</v>
      </c>
      <c r="H21" s="59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</row>
    <row r="22" spans="1:233">
      <c r="A22" s="56" t="s">
        <v>68</v>
      </c>
      <c r="B22" s="56" t="s">
        <v>69</v>
      </c>
      <c r="C22" s="56" t="s">
        <v>28</v>
      </c>
      <c r="D22" s="60">
        <v>21472</v>
      </c>
      <c r="E22" s="63" t="s">
        <v>22</v>
      </c>
      <c r="F22" s="66" t="s">
        <v>16</v>
      </c>
      <c r="G22" s="58" t="s">
        <v>70</v>
      </c>
      <c r="H22" s="59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</row>
    <row r="23" spans="1:233">
      <c r="A23" s="56" t="s">
        <v>68</v>
      </c>
      <c r="B23" s="56" t="s">
        <v>69</v>
      </c>
      <c r="C23" s="56" t="s">
        <v>28</v>
      </c>
      <c r="D23" s="60">
        <v>2140431.44</v>
      </c>
      <c r="E23" s="63" t="s">
        <v>22</v>
      </c>
      <c r="F23" s="66" t="s">
        <v>16</v>
      </c>
      <c r="G23" s="58" t="s">
        <v>70</v>
      </c>
      <c r="H23" s="59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</row>
    <row r="24" spans="1:233">
      <c r="A24" s="56" t="s">
        <v>68</v>
      </c>
      <c r="B24" s="56" t="s">
        <v>69</v>
      </c>
      <c r="C24" s="56" t="s">
        <v>28</v>
      </c>
      <c r="D24" s="60">
        <v>12993.31</v>
      </c>
      <c r="E24" s="63" t="s">
        <v>22</v>
      </c>
      <c r="F24" s="66" t="s">
        <v>16</v>
      </c>
      <c r="G24" s="58" t="s">
        <v>70</v>
      </c>
      <c r="H24" s="59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</row>
    <row r="25" spans="1:233">
      <c r="A25" s="56" t="s">
        <v>68</v>
      </c>
      <c r="B25" s="56" t="s">
        <v>69</v>
      </c>
      <c r="C25" s="56" t="s">
        <v>29</v>
      </c>
      <c r="D25" s="60">
        <v>867787.92</v>
      </c>
      <c r="E25" s="63" t="s">
        <v>19</v>
      </c>
      <c r="F25" s="66" t="s">
        <v>16</v>
      </c>
      <c r="G25" s="58" t="s">
        <v>71</v>
      </c>
      <c r="H25" s="59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</row>
    <row r="26" spans="1:233">
      <c r="A26" s="56" t="s">
        <v>68</v>
      </c>
      <c r="B26" s="56" t="s">
        <v>69</v>
      </c>
      <c r="C26" s="56" t="s">
        <v>29</v>
      </c>
      <c r="D26" s="60">
        <v>3240948.81</v>
      </c>
      <c r="E26" s="63" t="s">
        <v>19</v>
      </c>
      <c r="F26" s="66" t="s">
        <v>16</v>
      </c>
      <c r="G26" s="58" t="s">
        <v>71</v>
      </c>
      <c r="H26" s="59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</row>
    <row r="27" spans="1:233">
      <c r="A27" s="56" t="s">
        <v>68</v>
      </c>
      <c r="B27" s="56" t="s">
        <v>69</v>
      </c>
      <c r="C27" s="56" t="s">
        <v>29</v>
      </c>
      <c r="D27" s="60">
        <v>135084.91</v>
      </c>
      <c r="E27" s="63" t="s">
        <v>19</v>
      </c>
      <c r="F27" s="66" t="s">
        <v>16</v>
      </c>
      <c r="G27" s="58" t="s">
        <v>71</v>
      </c>
      <c r="H27" s="59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</row>
    <row r="28" spans="1:233">
      <c r="A28" s="56" t="s">
        <v>68</v>
      </c>
      <c r="B28" s="56" t="s">
        <v>69</v>
      </c>
      <c r="C28" s="56" t="s">
        <v>30</v>
      </c>
      <c r="D28" s="60">
        <v>90851</v>
      </c>
      <c r="E28" s="63" t="s">
        <v>18</v>
      </c>
      <c r="F28" s="66" t="s">
        <v>16</v>
      </c>
      <c r="G28" s="58" t="s">
        <v>72</v>
      </c>
      <c r="H28" s="59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</row>
    <row r="29" spans="1:233">
      <c r="A29" s="56" t="s">
        <v>73</v>
      </c>
      <c r="B29" s="56" t="s">
        <v>74</v>
      </c>
      <c r="C29" s="56" t="s">
        <v>30</v>
      </c>
      <c r="D29" s="60">
        <v>71970.14</v>
      </c>
      <c r="E29" s="63" t="s">
        <v>18</v>
      </c>
      <c r="F29" s="66" t="s">
        <v>14</v>
      </c>
      <c r="G29" s="58" t="s">
        <v>47</v>
      </c>
      <c r="H29" s="59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</row>
    <row r="30" spans="1:233">
      <c r="A30" s="56" t="s">
        <v>76</v>
      </c>
      <c r="B30" s="56" t="s">
        <v>77</v>
      </c>
      <c r="C30" s="56" t="s">
        <v>30</v>
      </c>
      <c r="D30" s="60">
        <v>-2478.5700000000002</v>
      </c>
      <c r="E30" s="63" t="s">
        <v>18</v>
      </c>
      <c r="F30" s="66" t="s">
        <v>2</v>
      </c>
      <c r="G30" s="58" t="s">
        <v>78</v>
      </c>
      <c r="H30" s="59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</row>
    <row r="31" spans="1:233">
      <c r="A31" s="56" t="s">
        <v>79</v>
      </c>
      <c r="B31" s="56" t="s">
        <v>80</v>
      </c>
      <c r="C31" s="56" t="s">
        <v>30</v>
      </c>
      <c r="D31" s="60">
        <v>2478.5700000000002</v>
      </c>
      <c r="E31" s="63" t="s">
        <v>18</v>
      </c>
      <c r="F31" s="66" t="s">
        <v>5</v>
      </c>
      <c r="G31" s="58" t="s">
        <v>81</v>
      </c>
      <c r="H31" s="59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</row>
    <row r="32" spans="1:233">
      <c r="A32" s="56" t="s">
        <v>82</v>
      </c>
      <c r="B32" s="56" t="s">
        <v>83</v>
      </c>
      <c r="C32" s="56" t="s">
        <v>28</v>
      </c>
      <c r="D32" s="60">
        <v>804175.87</v>
      </c>
      <c r="E32" s="63" t="s">
        <v>22</v>
      </c>
      <c r="F32" s="66" t="s">
        <v>84</v>
      </c>
      <c r="G32" s="58" t="s">
        <v>85</v>
      </c>
      <c r="H32" s="59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</row>
    <row r="33" spans="1:233">
      <c r="A33" s="56" t="s">
        <v>82</v>
      </c>
      <c r="B33" s="56" t="s">
        <v>83</v>
      </c>
      <c r="C33" s="56" t="s">
        <v>29</v>
      </c>
      <c r="D33" s="60">
        <v>1307394</v>
      </c>
      <c r="E33" s="63" t="s">
        <v>19</v>
      </c>
      <c r="F33" s="66" t="s">
        <v>84</v>
      </c>
      <c r="G33" s="58" t="s">
        <v>86</v>
      </c>
      <c r="H33" s="59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</row>
    <row r="34" spans="1:233">
      <c r="A34" s="56" t="s">
        <v>87</v>
      </c>
      <c r="B34" s="56" t="s">
        <v>88</v>
      </c>
      <c r="C34" s="56" t="s">
        <v>28</v>
      </c>
      <c r="D34" s="60">
        <v>3894</v>
      </c>
      <c r="E34" s="63" t="s">
        <v>22</v>
      </c>
      <c r="F34" s="66" t="s">
        <v>16</v>
      </c>
      <c r="G34" s="58" t="s">
        <v>70</v>
      </c>
      <c r="H34" s="59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</row>
    <row r="35" spans="1:233">
      <c r="A35" s="56" t="s">
        <v>87</v>
      </c>
      <c r="B35" s="56" t="s">
        <v>88</v>
      </c>
      <c r="C35" s="56" t="s">
        <v>29</v>
      </c>
      <c r="D35" s="60">
        <v>140490.44</v>
      </c>
      <c r="E35" s="63" t="s">
        <v>19</v>
      </c>
      <c r="F35" s="66" t="s">
        <v>16</v>
      </c>
      <c r="G35" s="58" t="s">
        <v>71</v>
      </c>
      <c r="H35" s="59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</row>
    <row r="36" spans="1:233">
      <c r="A36" s="56" t="s">
        <v>89</v>
      </c>
      <c r="B36" s="56" t="s">
        <v>90</v>
      </c>
      <c r="C36" s="56" t="s">
        <v>28</v>
      </c>
      <c r="D36" s="60">
        <v>80230</v>
      </c>
      <c r="E36" s="63" t="s">
        <v>22</v>
      </c>
      <c r="F36" s="66" t="s">
        <v>16</v>
      </c>
      <c r="G36" s="58" t="s">
        <v>70</v>
      </c>
      <c r="H36" s="59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</row>
    <row r="37" spans="1:233">
      <c r="A37" s="56" t="s">
        <v>89</v>
      </c>
      <c r="B37" s="56" t="s">
        <v>90</v>
      </c>
      <c r="C37" s="56" t="s">
        <v>28</v>
      </c>
      <c r="D37" s="60">
        <v>14800</v>
      </c>
      <c r="E37" s="63" t="s">
        <v>22</v>
      </c>
      <c r="F37" s="66" t="s">
        <v>16</v>
      </c>
      <c r="G37" s="58" t="s">
        <v>70</v>
      </c>
      <c r="H37" s="59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</row>
    <row r="38" spans="1:233">
      <c r="A38" s="56" t="s">
        <v>89</v>
      </c>
      <c r="B38" s="56" t="s">
        <v>90</v>
      </c>
      <c r="C38" s="56" t="s">
        <v>29</v>
      </c>
      <c r="D38" s="60">
        <v>3107115.83</v>
      </c>
      <c r="E38" s="63" t="s">
        <v>19</v>
      </c>
      <c r="F38" s="66" t="s">
        <v>16</v>
      </c>
      <c r="G38" s="58" t="s">
        <v>71</v>
      </c>
      <c r="H38" s="59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</row>
    <row r="39" spans="1:233">
      <c r="A39" s="56" t="s">
        <v>89</v>
      </c>
      <c r="B39" s="56" t="s">
        <v>90</v>
      </c>
      <c r="C39" s="56" t="s">
        <v>29</v>
      </c>
      <c r="D39" s="60">
        <v>846293.42</v>
      </c>
      <c r="E39" s="63" t="s">
        <v>19</v>
      </c>
      <c r="F39" s="66" t="s">
        <v>16</v>
      </c>
      <c r="G39" s="58" t="s">
        <v>71</v>
      </c>
      <c r="H39" s="59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</row>
    <row r="40" spans="1:233">
      <c r="A40" s="56" t="s">
        <v>91</v>
      </c>
      <c r="B40" s="56" t="s">
        <v>92</v>
      </c>
      <c r="C40" s="56" t="s">
        <v>30</v>
      </c>
      <c r="D40" s="60">
        <v>82836.460000000006</v>
      </c>
      <c r="E40" s="63" t="s">
        <v>18</v>
      </c>
      <c r="F40" s="66" t="s">
        <v>93</v>
      </c>
      <c r="G40" s="58" t="s">
        <v>94</v>
      </c>
      <c r="H40" s="59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</row>
    <row r="41" spans="1:233">
      <c r="A41" s="56" t="s">
        <v>95</v>
      </c>
      <c r="B41" s="56" t="s">
        <v>96</v>
      </c>
      <c r="C41" s="56" t="s">
        <v>28</v>
      </c>
      <c r="D41" s="60">
        <v>40467</v>
      </c>
      <c r="E41" s="63" t="s">
        <v>22</v>
      </c>
      <c r="F41" s="66" t="s">
        <v>93</v>
      </c>
      <c r="G41" s="58" t="s">
        <v>97</v>
      </c>
      <c r="H41" s="59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</row>
    <row r="42" spans="1:233">
      <c r="A42" s="56" t="s">
        <v>95</v>
      </c>
      <c r="B42" s="56" t="s">
        <v>96</v>
      </c>
      <c r="C42" s="56" t="s">
        <v>29</v>
      </c>
      <c r="D42" s="60">
        <v>2684795.76</v>
      </c>
      <c r="E42" s="63" t="s">
        <v>19</v>
      </c>
      <c r="F42" s="66" t="s">
        <v>93</v>
      </c>
      <c r="G42" s="58" t="s">
        <v>98</v>
      </c>
      <c r="H42" s="59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</row>
    <row r="43" spans="1:233">
      <c r="A43" s="56" t="s">
        <v>95</v>
      </c>
      <c r="B43" s="56" t="s">
        <v>96</v>
      </c>
      <c r="C43" s="56" t="s">
        <v>30</v>
      </c>
      <c r="D43" s="60">
        <v>36717.279999999999</v>
      </c>
      <c r="E43" s="63" t="s">
        <v>18</v>
      </c>
      <c r="F43" s="66" t="s">
        <v>93</v>
      </c>
      <c r="G43" s="58" t="s">
        <v>94</v>
      </c>
      <c r="H43" s="59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</row>
    <row r="44" spans="1:233">
      <c r="A44" s="56" t="s">
        <v>99</v>
      </c>
      <c r="B44" s="56" t="s">
        <v>100</v>
      </c>
      <c r="C44" s="56" t="s">
        <v>75</v>
      </c>
      <c r="D44" s="60">
        <v>-1434124</v>
      </c>
      <c r="E44" s="63" t="s">
        <v>19</v>
      </c>
      <c r="F44" s="66" t="s">
        <v>14</v>
      </c>
      <c r="G44" s="58" t="s">
        <v>101</v>
      </c>
      <c r="H44" s="59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</row>
    <row r="45" spans="1:233">
      <c r="A45" s="56" t="s">
        <v>102</v>
      </c>
      <c r="B45" s="56" t="s">
        <v>103</v>
      </c>
      <c r="C45" s="56" t="s">
        <v>67</v>
      </c>
      <c r="D45" s="60">
        <v>102092.45</v>
      </c>
      <c r="E45" s="63" t="s">
        <v>21</v>
      </c>
      <c r="F45" s="66" t="s">
        <v>16</v>
      </c>
      <c r="G45" s="58" t="s">
        <v>108</v>
      </c>
      <c r="H45" s="59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</row>
    <row r="46" spans="1:233">
      <c r="A46" s="56" t="s">
        <v>102</v>
      </c>
      <c r="B46" s="56" t="s">
        <v>103</v>
      </c>
      <c r="C46" s="56" t="s">
        <v>28</v>
      </c>
      <c r="D46" s="60">
        <v>20522.580000000002</v>
      </c>
      <c r="E46" s="63" t="s">
        <v>22</v>
      </c>
      <c r="F46" s="66" t="s">
        <v>16</v>
      </c>
      <c r="G46" s="58" t="s">
        <v>70</v>
      </c>
      <c r="H46" s="59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</row>
    <row r="47" spans="1:233">
      <c r="A47" s="56" t="s">
        <v>102</v>
      </c>
      <c r="B47" s="56" t="s">
        <v>103</v>
      </c>
      <c r="C47" s="56" t="s">
        <v>29</v>
      </c>
      <c r="D47" s="60">
        <v>62687.42</v>
      </c>
      <c r="E47" s="63" t="s">
        <v>19</v>
      </c>
      <c r="F47" s="66" t="s">
        <v>16</v>
      </c>
      <c r="G47" s="58" t="s">
        <v>71</v>
      </c>
      <c r="H47" s="59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</row>
    <row r="48" spans="1:233">
      <c r="A48" s="56" t="s">
        <v>104</v>
      </c>
      <c r="B48" s="56" t="s">
        <v>105</v>
      </c>
      <c r="C48" s="56" t="s">
        <v>67</v>
      </c>
      <c r="D48" s="60">
        <v>54141.06</v>
      </c>
      <c r="E48" s="63" t="s">
        <v>21</v>
      </c>
      <c r="F48" s="66" t="s">
        <v>11</v>
      </c>
      <c r="G48" s="58" t="s">
        <v>109</v>
      </c>
      <c r="H48" s="59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</row>
    <row r="49" spans="1:233">
      <c r="A49" s="56" t="s">
        <v>104</v>
      </c>
      <c r="B49" s="56" t="s">
        <v>105</v>
      </c>
      <c r="C49" s="56" t="s">
        <v>28</v>
      </c>
      <c r="D49" s="60">
        <v>46073.67</v>
      </c>
      <c r="E49" s="63" t="s">
        <v>22</v>
      </c>
      <c r="F49" s="66" t="s">
        <v>11</v>
      </c>
      <c r="G49" s="58" t="s">
        <v>110</v>
      </c>
      <c r="H49" s="59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</row>
    <row r="50" spans="1:233">
      <c r="A50" s="56" t="s">
        <v>104</v>
      </c>
      <c r="B50" s="56" t="s">
        <v>105</v>
      </c>
      <c r="C50" s="56" t="s">
        <v>29</v>
      </c>
      <c r="D50" s="60">
        <v>499719.35</v>
      </c>
      <c r="E50" s="63" t="s">
        <v>19</v>
      </c>
      <c r="F50" s="66" t="s">
        <v>11</v>
      </c>
      <c r="G50" s="58" t="s">
        <v>111</v>
      </c>
      <c r="H50" s="59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</row>
    <row r="51" spans="1:233">
      <c r="A51" s="56" t="s">
        <v>106</v>
      </c>
      <c r="B51" s="56" t="s">
        <v>107</v>
      </c>
      <c r="C51" s="56" t="s">
        <v>30</v>
      </c>
      <c r="D51" s="60">
        <v>-1024.94</v>
      </c>
      <c r="E51" s="63" t="s">
        <v>18</v>
      </c>
      <c r="F51" s="66" t="s">
        <v>10</v>
      </c>
      <c r="G51" s="58" t="s">
        <v>112</v>
      </c>
      <c r="H51" s="59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</row>
    <row r="52" spans="1:233">
      <c r="A52" s="56" t="s">
        <v>113</v>
      </c>
      <c r="B52" s="56" t="s">
        <v>114</v>
      </c>
      <c r="C52" s="56" t="s">
        <v>28</v>
      </c>
      <c r="D52" s="60">
        <v>12491</v>
      </c>
      <c r="E52" s="63" t="s">
        <v>22</v>
      </c>
      <c r="F52" s="66" t="s">
        <v>93</v>
      </c>
      <c r="G52" s="58" t="s">
        <v>97</v>
      </c>
      <c r="H52" s="59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</row>
    <row r="53" spans="1:233">
      <c r="A53" s="56" t="s">
        <v>113</v>
      </c>
      <c r="B53" s="56" t="s">
        <v>114</v>
      </c>
      <c r="C53" s="56" t="s">
        <v>29</v>
      </c>
      <c r="D53" s="60">
        <v>1642105</v>
      </c>
      <c r="E53" s="63" t="s">
        <v>19</v>
      </c>
      <c r="F53" s="66" t="s">
        <v>93</v>
      </c>
      <c r="G53" s="58" t="s">
        <v>98</v>
      </c>
      <c r="H53" s="59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</row>
    <row r="54" spans="1:233">
      <c r="A54" s="56" t="s">
        <v>115</v>
      </c>
      <c r="B54" s="56" t="s">
        <v>116</v>
      </c>
      <c r="C54" s="56" t="s">
        <v>30</v>
      </c>
      <c r="D54" s="60">
        <v>36509.620000000003</v>
      </c>
      <c r="E54" s="63" t="s">
        <v>18</v>
      </c>
      <c r="F54" s="66" t="s">
        <v>57</v>
      </c>
      <c r="G54" s="58" t="s">
        <v>59</v>
      </c>
      <c r="H54" s="59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</row>
    <row r="55" spans="1:233">
      <c r="A55" s="56" t="s">
        <v>117</v>
      </c>
      <c r="B55" s="56" t="s">
        <v>118</v>
      </c>
      <c r="C55" s="56" t="s">
        <v>28</v>
      </c>
      <c r="D55" s="60">
        <v>-2204841.71</v>
      </c>
      <c r="E55" s="63" t="s">
        <v>22</v>
      </c>
      <c r="F55" s="66" t="s">
        <v>93</v>
      </c>
      <c r="G55" s="58" t="s">
        <v>97</v>
      </c>
      <c r="H55" s="59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</row>
    <row r="56" spans="1:233">
      <c r="A56" s="56" t="s">
        <v>117</v>
      </c>
      <c r="B56" s="56" t="s">
        <v>118</v>
      </c>
      <c r="C56" s="56" t="s">
        <v>28</v>
      </c>
      <c r="D56" s="60">
        <v>382263.69</v>
      </c>
      <c r="E56" s="63" t="s">
        <v>22</v>
      </c>
      <c r="F56" s="66" t="s">
        <v>93</v>
      </c>
      <c r="G56" s="58" t="s">
        <v>97</v>
      </c>
      <c r="H56" s="59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</row>
    <row r="57" spans="1:233">
      <c r="A57" s="56" t="s">
        <v>117</v>
      </c>
      <c r="B57" s="56" t="s">
        <v>118</v>
      </c>
      <c r="C57" s="56" t="s">
        <v>28</v>
      </c>
      <c r="D57" s="60">
        <v>851186.71</v>
      </c>
      <c r="E57" s="63" t="s">
        <v>22</v>
      </c>
      <c r="F57" s="66" t="s">
        <v>93</v>
      </c>
      <c r="G57" s="58" t="s">
        <v>97</v>
      </c>
      <c r="H57" s="59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</row>
    <row r="58" spans="1:233">
      <c r="A58" s="56" t="s">
        <v>117</v>
      </c>
      <c r="B58" s="56" t="s">
        <v>118</v>
      </c>
      <c r="C58" s="56" t="s">
        <v>29</v>
      </c>
      <c r="D58" s="60">
        <v>-8836195</v>
      </c>
      <c r="E58" s="63" t="s">
        <v>19</v>
      </c>
      <c r="F58" s="66" t="s">
        <v>93</v>
      </c>
      <c r="G58" s="58" t="s">
        <v>98</v>
      </c>
      <c r="H58" s="59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</row>
    <row r="59" spans="1:233">
      <c r="A59" s="56" t="s">
        <v>117</v>
      </c>
      <c r="B59" s="56" t="s">
        <v>118</v>
      </c>
      <c r="C59" s="56" t="s">
        <v>29</v>
      </c>
      <c r="D59" s="60">
        <v>1891360.71</v>
      </c>
      <c r="E59" s="63" t="s">
        <v>19</v>
      </c>
      <c r="F59" s="66" t="s">
        <v>93</v>
      </c>
      <c r="G59" s="58" t="s">
        <v>98</v>
      </c>
      <c r="H59" s="59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</row>
    <row r="60" spans="1:233">
      <c r="A60" s="56" t="s">
        <v>117</v>
      </c>
      <c r="B60" s="56" t="s">
        <v>118</v>
      </c>
      <c r="C60" s="56" t="s">
        <v>29</v>
      </c>
      <c r="D60" s="60">
        <v>8669315</v>
      </c>
      <c r="E60" s="63" t="s">
        <v>19</v>
      </c>
      <c r="F60" s="66" t="s">
        <v>93</v>
      </c>
      <c r="G60" s="58" t="s">
        <v>98</v>
      </c>
      <c r="H60" s="59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</row>
    <row r="61" spans="1:233">
      <c r="A61" s="56" t="s">
        <v>119</v>
      </c>
      <c r="B61" s="56" t="s">
        <v>120</v>
      </c>
      <c r="C61" s="56" t="s">
        <v>28</v>
      </c>
      <c r="D61" s="60">
        <v>426</v>
      </c>
      <c r="E61" s="63" t="s">
        <v>22</v>
      </c>
      <c r="F61" s="66" t="s">
        <v>11</v>
      </c>
      <c r="G61" s="58" t="s">
        <v>110</v>
      </c>
      <c r="H61" s="59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</row>
    <row r="62" spans="1:233">
      <c r="A62" s="56" t="s">
        <v>119</v>
      </c>
      <c r="B62" s="56" t="s">
        <v>120</v>
      </c>
      <c r="C62" s="56" t="s">
        <v>29</v>
      </c>
      <c r="D62" s="60">
        <v>43520.71</v>
      </c>
      <c r="E62" s="63" t="s">
        <v>19</v>
      </c>
      <c r="F62" s="66" t="s">
        <v>11</v>
      </c>
      <c r="G62" s="58" t="s">
        <v>111</v>
      </c>
      <c r="H62" s="59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</row>
    <row r="63" spans="1:233">
      <c r="A63" s="56" t="s">
        <v>119</v>
      </c>
      <c r="B63" s="56" t="s">
        <v>120</v>
      </c>
      <c r="C63" s="56" t="s">
        <v>30</v>
      </c>
      <c r="D63" s="60">
        <v>24860</v>
      </c>
      <c r="E63" s="63" t="s">
        <v>18</v>
      </c>
      <c r="F63" s="66" t="s">
        <v>11</v>
      </c>
      <c r="G63" s="58" t="s">
        <v>45</v>
      </c>
      <c r="H63" s="59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</row>
    <row r="64" spans="1:233">
      <c r="A64" s="56" t="s">
        <v>121</v>
      </c>
      <c r="B64" s="56" t="s">
        <v>122</v>
      </c>
      <c r="C64" s="56" t="s">
        <v>28</v>
      </c>
      <c r="D64" s="60">
        <v>-10813</v>
      </c>
      <c r="E64" s="63" t="s">
        <v>22</v>
      </c>
      <c r="F64" s="66" t="s">
        <v>11</v>
      </c>
      <c r="G64" s="58" t="s">
        <v>110</v>
      </c>
      <c r="H64" s="59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</row>
    <row r="65" spans="1:233">
      <c r="A65" s="56" t="s">
        <v>121</v>
      </c>
      <c r="B65" s="56" t="s">
        <v>122</v>
      </c>
      <c r="C65" s="56" t="s">
        <v>28</v>
      </c>
      <c r="D65" s="60">
        <v>10813</v>
      </c>
      <c r="E65" s="63" t="s">
        <v>22</v>
      </c>
      <c r="F65" s="66" t="s">
        <v>11</v>
      </c>
      <c r="G65" s="58" t="s">
        <v>110</v>
      </c>
      <c r="H65" s="59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</row>
    <row r="66" spans="1:233">
      <c r="A66" s="56" t="s">
        <v>121</v>
      </c>
      <c r="B66" s="56" t="s">
        <v>122</v>
      </c>
      <c r="C66" s="56" t="s">
        <v>29</v>
      </c>
      <c r="D66" s="60">
        <v>-141715.5</v>
      </c>
      <c r="E66" s="63" t="s">
        <v>19</v>
      </c>
      <c r="F66" s="66" t="s">
        <v>11</v>
      </c>
      <c r="G66" s="58" t="s">
        <v>111</v>
      </c>
      <c r="H66" s="59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</row>
    <row r="67" spans="1:233">
      <c r="A67" s="56" t="s">
        <v>121</v>
      </c>
      <c r="B67" s="56" t="s">
        <v>122</v>
      </c>
      <c r="C67" s="56" t="s">
        <v>29</v>
      </c>
      <c r="D67" s="60">
        <v>141715.5</v>
      </c>
      <c r="E67" s="63" t="s">
        <v>19</v>
      </c>
      <c r="F67" s="66" t="s">
        <v>11</v>
      </c>
      <c r="G67" s="58" t="s">
        <v>111</v>
      </c>
      <c r="H67" s="59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</row>
    <row r="68" spans="1:233">
      <c r="A68" s="56" t="s">
        <v>123</v>
      </c>
      <c r="B68" s="56" t="s">
        <v>124</v>
      </c>
      <c r="C68" s="56" t="s">
        <v>28</v>
      </c>
      <c r="D68" s="60">
        <v>-10813</v>
      </c>
      <c r="E68" s="63" t="s">
        <v>22</v>
      </c>
      <c r="F68" s="66" t="s">
        <v>11</v>
      </c>
      <c r="G68" s="58" t="s">
        <v>110</v>
      </c>
      <c r="H68" s="59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</row>
    <row r="69" spans="1:233">
      <c r="A69" s="56" t="s">
        <v>123</v>
      </c>
      <c r="B69" s="56" t="s">
        <v>124</v>
      </c>
      <c r="C69" s="56" t="s">
        <v>28</v>
      </c>
      <c r="D69" s="60">
        <v>10813</v>
      </c>
      <c r="E69" s="63" t="s">
        <v>22</v>
      </c>
      <c r="F69" s="66" t="s">
        <v>11</v>
      </c>
      <c r="G69" s="58" t="s">
        <v>110</v>
      </c>
      <c r="H69" s="59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</row>
    <row r="70" spans="1:233">
      <c r="A70" s="56" t="s">
        <v>123</v>
      </c>
      <c r="B70" s="56" t="s">
        <v>124</v>
      </c>
      <c r="C70" s="56" t="s">
        <v>29</v>
      </c>
      <c r="D70" s="60">
        <v>-141715.5</v>
      </c>
      <c r="E70" s="63" t="s">
        <v>19</v>
      </c>
      <c r="F70" s="66" t="s">
        <v>11</v>
      </c>
      <c r="G70" s="58" t="s">
        <v>111</v>
      </c>
      <c r="H70" s="59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</row>
    <row r="71" spans="1:233">
      <c r="A71" s="56" t="s">
        <v>123</v>
      </c>
      <c r="B71" s="56" t="s">
        <v>124</v>
      </c>
      <c r="C71" s="56" t="s">
        <v>29</v>
      </c>
      <c r="D71" s="60">
        <v>141715.5</v>
      </c>
      <c r="E71" s="63" t="s">
        <v>19</v>
      </c>
      <c r="F71" s="66" t="s">
        <v>11</v>
      </c>
      <c r="G71" s="58" t="s">
        <v>111</v>
      </c>
      <c r="H71" s="59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</row>
    <row r="72" spans="1:233">
      <c r="A72" s="56" t="s">
        <v>125</v>
      </c>
      <c r="B72" s="56" t="s">
        <v>126</v>
      </c>
      <c r="C72" s="56" t="s">
        <v>28</v>
      </c>
      <c r="D72" s="60">
        <v>-41197.5</v>
      </c>
      <c r="E72" s="63" t="s">
        <v>22</v>
      </c>
      <c r="F72" s="66" t="s">
        <v>11</v>
      </c>
      <c r="G72" s="58" t="s">
        <v>110</v>
      </c>
      <c r="H72" s="59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</row>
    <row r="73" spans="1:233">
      <c r="A73" s="56" t="s">
        <v>125</v>
      </c>
      <c r="B73" s="56" t="s">
        <v>126</v>
      </c>
      <c r="C73" s="56" t="s">
        <v>28</v>
      </c>
      <c r="D73" s="60">
        <v>41197.5</v>
      </c>
      <c r="E73" s="63" t="s">
        <v>22</v>
      </c>
      <c r="F73" s="66" t="s">
        <v>11</v>
      </c>
      <c r="G73" s="58" t="s">
        <v>110</v>
      </c>
      <c r="H73" s="59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</row>
    <row r="74" spans="1:233">
      <c r="A74" s="56" t="s">
        <v>125</v>
      </c>
      <c r="B74" s="56" t="s">
        <v>126</v>
      </c>
      <c r="C74" s="56" t="s">
        <v>29</v>
      </c>
      <c r="D74" s="60">
        <v>-730530</v>
      </c>
      <c r="E74" s="63" t="s">
        <v>19</v>
      </c>
      <c r="F74" s="66" t="s">
        <v>11</v>
      </c>
      <c r="G74" s="58" t="s">
        <v>111</v>
      </c>
      <c r="H74" s="59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</row>
    <row r="75" spans="1:233">
      <c r="A75" s="56" t="s">
        <v>125</v>
      </c>
      <c r="B75" s="56" t="s">
        <v>126</v>
      </c>
      <c r="C75" s="56" t="s">
        <v>29</v>
      </c>
      <c r="D75" s="60">
        <v>730093</v>
      </c>
      <c r="E75" s="63" t="s">
        <v>19</v>
      </c>
      <c r="F75" s="66" t="s">
        <v>11</v>
      </c>
      <c r="G75" s="58" t="s">
        <v>111</v>
      </c>
      <c r="H75" s="59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</row>
    <row r="76" spans="1:233">
      <c r="A76" s="56" t="s">
        <v>128</v>
      </c>
      <c r="B76" s="56" t="s">
        <v>129</v>
      </c>
      <c r="C76" s="56" t="s">
        <v>28</v>
      </c>
      <c r="D76" s="60">
        <v>-41197.5</v>
      </c>
      <c r="E76" s="63" t="s">
        <v>22</v>
      </c>
      <c r="F76" s="66" t="s">
        <v>6</v>
      </c>
      <c r="G76" s="58" t="s">
        <v>143</v>
      </c>
      <c r="H76" s="59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</row>
    <row r="77" spans="1:233">
      <c r="A77" s="56" t="s">
        <v>128</v>
      </c>
      <c r="B77" s="56" t="s">
        <v>129</v>
      </c>
      <c r="C77" s="56" t="s">
        <v>28</v>
      </c>
      <c r="D77" s="60">
        <v>41197.5</v>
      </c>
      <c r="E77" s="63" t="s">
        <v>22</v>
      </c>
      <c r="F77" s="66" t="s">
        <v>6</v>
      </c>
      <c r="G77" s="58" t="s">
        <v>143</v>
      </c>
      <c r="H77" s="59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</row>
    <row r="78" spans="1:233">
      <c r="A78" s="56" t="s">
        <v>128</v>
      </c>
      <c r="B78" s="56" t="s">
        <v>129</v>
      </c>
      <c r="C78" s="56" t="s">
        <v>28</v>
      </c>
      <c r="D78" s="60">
        <v>1231</v>
      </c>
      <c r="E78" s="63" t="s">
        <v>22</v>
      </c>
      <c r="F78" s="66" t="s">
        <v>6</v>
      </c>
      <c r="G78" s="58" t="s">
        <v>143</v>
      </c>
      <c r="H78" s="59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</row>
    <row r="79" spans="1:233">
      <c r="A79" s="56" t="s">
        <v>128</v>
      </c>
      <c r="B79" s="56" t="s">
        <v>129</v>
      </c>
      <c r="C79" s="56" t="s">
        <v>29</v>
      </c>
      <c r="D79" s="60">
        <v>-730530</v>
      </c>
      <c r="E79" s="63" t="s">
        <v>19</v>
      </c>
      <c r="F79" s="66" t="s">
        <v>6</v>
      </c>
      <c r="G79" s="58" t="s">
        <v>144</v>
      </c>
      <c r="H79" s="59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</row>
    <row r="80" spans="1:233">
      <c r="A80" s="56" t="s">
        <v>128</v>
      </c>
      <c r="B80" s="56" t="s">
        <v>129</v>
      </c>
      <c r="C80" s="56" t="s">
        <v>29</v>
      </c>
      <c r="D80" s="60">
        <v>730093</v>
      </c>
      <c r="E80" s="63" t="s">
        <v>19</v>
      </c>
      <c r="F80" s="66" t="s">
        <v>6</v>
      </c>
      <c r="G80" s="58" t="s">
        <v>144</v>
      </c>
      <c r="H80" s="59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</row>
    <row r="81" spans="1:233">
      <c r="A81" s="56" t="s">
        <v>128</v>
      </c>
      <c r="B81" s="56" t="s">
        <v>129</v>
      </c>
      <c r="C81" s="56" t="s">
        <v>29</v>
      </c>
      <c r="D81" s="60">
        <v>11194.73</v>
      </c>
      <c r="E81" s="63" t="s">
        <v>19</v>
      </c>
      <c r="F81" s="66" t="s">
        <v>6</v>
      </c>
      <c r="G81" s="58" t="s">
        <v>144</v>
      </c>
      <c r="H81" s="59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</row>
    <row r="82" spans="1:233">
      <c r="A82" s="56" t="s">
        <v>130</v>
      </c>
      <c r="B82" s="56" t="s">
        <v>127</v>
      </c>
      <c r="C82" s="56" t="s">
        <v>28</v>
      </c>
      <c r="D82" s="60">
        <v>19990.7</v>
      </c>
      <c r="E82" s="63" t="s">
        <v>22</v>
      </c>
      <c r="F82" s="66" t="s">
        <v>6</v>
      </c>
      <c r="G82" s="58" t="s">
        <v>143</v>
      </c>
      <c r="H82" s="59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</row>
    <row r="83" spans="1:233">
      <c r="A83" s="56" t="s">
        <v>130</v>
      </c>
      <c r="B83" s="56" t="s">
        <v>127</v>
      </c>
      <c r="C83" s="56" t="s">
        <v>28</v>
      </c>
      <c r="D83" s="60">
        <v>6020</v>
      </c>
      <c r="E83" s="63" t="s">
        <v>22</v>
      </c>
      <c r="F83" s="66" t="s">
        <v>6</v>
      </c>
      <c r="G83" s="58" t="s">
        <v>143</v>
      </c>
      <c r="H83" s="59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</row>
    <row r="84" spans="1:233">
      <c r="A84" s="56" t="s">
        <v>130</v>
      </c>
      <c r="B84" s="56" t="s">
        <v>127</v>
      </c>
      <c r="C84" s="56" t="s">
        <v>29</v>
      </c>
      <c r="D84" s="60">
        <v>802973.63</v>
      </c>
      <c r="E84" s="63" t="s">
        <v>19</v>
      </c>
      <c r="F84" s="66" t="s">
        <v>6</v>
      </c>
      <c r="G84" s="58" t="s">
        <v>144</v>
      </c>
      <c r="H84" s="59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</row>
    <row r="85" spans="1:233">
      <c r="A85" s="56" t="s">
        <v>130</v>
      </c>
      <c r="B85" s="56" t="s">
        <v>127</v>
      </c>
      <c r="C85" s="56" t="s">
        <v>29</v>
      </c>
      <c r="D85" s="60">
        <v>118808</v>
      </c>
      <c r="E85" s="63" t="s">
        <v>19</v>
      </c>
      <c r="F85" s="66" t="s">
        <v>6</v>
      </c>
      <c r="G85" s="58" t="s">
        <v>144</v>
      </c>
      <c r="H85" s="59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</row>
    <row r="86" spans="1:233">
      <c r="A86" s="56" t="s">
        <v>131</v>
      </c>
      <c r="B86" s="56" t="s">
        <v>132</v>
      </c>
      <c r="C86" s="56" t="s">
        <v>28</v>
      </c>
      <c r="D86" s="60">
        <v>-72822</v>
      </c>
      <c r="E86" s="63" t="s">
        <v>22</v>
      </c>
      <c r="F86" s="66" t="s">
        <v>6</v>
      </c>
      <c r="G86" s="58" t="s">
        <v>143</v>
      </c>
      <c r="H86" s="59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</row>
    <row r="87" spans="1:233">
      <c r="A87" s="56" t="s">
        <v>131</v>
      </c>
      <c r="B87" s="56" t="s">
        <v>132</v>
      </c>
      <c r="C87" s="56" t="s">
        <v>28</v>
      </c>
      <c r="D87" s="60">
        <v>72822</v>
      </c>
      <c r="E87" s="63" t="s">
        <v>22</v>
      </c>
      <c r="F87" s="66" t="s">
        <v>6</v>
      </c>
      <c r="G87" s="58" t="s">
        <v>143</v>
      </c>
      <c r="H87" s="59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</row>
    <row r="88" spans="1:233">
      <c r="A88" s="56" t="s">
        <v>131</v>
      </c>
      <c r="B88" s="56" t="s">
        <v>132</v>
      </c>
      <c r="C88" s="56" t="s">
        <v>28</v>
      </c>
      <c r="D88" s="60">
        <v>535547</v>
      </c>
      <c r="E88" s="63" t="s">
        <v>22</v>
      </c>
      <c r="F88" s="66" t="s">
        <v>6</v>
      </c>
      <c r="G88" s="58" t="s">
        <v>143</v>
      </c>
      <c r="H88" s="59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</row>
    <row r="89" spans="1:233">
      <c r="A89" s="56" t="s">
        <v>131</v>
      </c>
      <c r="B89" s="56" t="s">
        <v>132</v>
      </c>
      <c r="C89" s="56" t="s">
        <v>29</v>
      </c>
      <c r="D89" s="60">
        <v>-1592745</v>
      </c>
      <c r="E89" s="63" t="s">
        <v>19</v>
      </c>
      <c r="F89" s="66" t="s">
        <v>6</v>
      </c>
      <c r="G89" s="58" t="s">
        <v>144</v>
      </c>
      <c r="H89" s="59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</row>
    <row r="90" spans="1:233">
      <c r="A90" s="56" t="s">
        <v>131</v>
      </c>
      <c r="B90" s="56" t="s">
        <v>132</v>
      </c>
      <c r="C90" s="56" t="s">
        <v>29</v>
      </c>
      <c r="D90" s="60">
        <v>1591435</v>
      </c>
      <c r="E90" s="63" t="s">
        <v>19</v>
      </c>
      <c r="F90" s="66" t="s">
        <v>6</v>
      </c>
      <c r="G90" s="58" t="s">
        <v>144</v>
      </c>
      <c r="H90" s="59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</row>
    <row r="91" spans="1:233">
      <c r="A91" s="56" t="s">
        <v>131</v>
      </c>
      <c r="B91" s="56" t="s">
        <v>132</v>
      </c>
      <c r="C91" s="56" t="s">
        <v>29</v>
      </c>
      <c r="D91" s="60">
        <v>2945130.12</v>
      </c>
      <c r="E91" s="63" t="s">
        <v>19</v>
      </c>
      <c r="F91" s="66" t="s">
        <v>6</v>
      </c>
      <c r="G91" s="58" t="s">
        <v>144</v>
      </c>
      <c r="H91" s="59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</row>
    <row r="92" spans="1:233">
      <c r="A92" s="56" t="s">
        <v>133</v>
      </c>
      <c r="B92" s="56" t="s">
        <v>134</v>
      </c>
      <c r="C92" s="56" t="s">
        <v>28</v>
      </c>
      <c r="D92" s="60">
        <v>-72822</v>
      </c>
      <c r="E92" s="63" t="s">
        <v>22</v>
      </c>
      <c r="F92" s="66" t="s">
        <v>6</v>
      </c>
      <c r="G92" s="58" t="s">
        <v>143</v>
      </c>
      <c r="H92" s="59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</row>
    <row r="93" spans="1:233">
      <c r="A93" s="56" t="s">
        <v>133</v>
      </c>
      <c r="B93" s="56" t="s">
        <v>134</v>
      </c>
      <c r="C93" s="56" t="s">
        <v>28</v>
      </c>
      <c r="D93" s="60">
        <v>72822</v>
      </c>
      <c r="E93" s="63" t="s">
        <v>22</v>
      </c>
      <c r="F93" s="66" t="s">
        <v>6</v>
      </c>
      <c r="G93" s="58" t="s">
        <v>143</v>
      </c>
      <c r="H93" s="59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</row>
    <row r="94" spans="1:233">
      <c r="A94" s="56" t="s">
        <v>133</v>
      </c>
      <c r="B94" s="56" t="s">
        <v>134</v>
      </c>
      <c r="C94" s="56" t="s">
        <v>28</v>
      </c>
      <c r="D94" s="60">
        <v>6020</v>
      </c>
      <c r="E94" s="63" t="s">
        <v>22</v>
      </c>
      <c r="F94" s="66" t="s">
        <v>6</v>
      </c>
      <c r="G94" s="58" t="s">
        <v>143</v>
      </c>
      <c r="H94" s="59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</row>
    <row r="95" spans="1:233">
      <c r="A95" s="56" t="s">
        <v>133</v>
      </c>
      <c r="B95" s="56" t="s">
        <v>134</v>
      </c>
      <c r="C95" s="56" t="s">
        <v>29</v>
      </c>
      <c r="D95" s="60">
        <v>-1592745</v>
      </c>
      <c r="E95" s="63" t="s">
        <v>19</v>
      </c>
      <c r="F95" s="66" t="s">
        <v>6</v>
      </c>
      <c r="G95" s="58" t="s">
        <v>144</v>
      </c>
      <c r="H95" s="59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</row>
    <row r="96" spans="1:233">
      <c r="A96" s="56" t="s">
        <v>133</v>
      </c>
      <c r="B96" s="56" t="s">
        <v>134</v>
      </c>
      <c r="C96" s="56" t="s">
        <v>29</v>
      </c>
      <c r="D96" s="60">
        <v>1591435</v>
      </c>
      <c r="E96" s="63" t="s">
        <v>19</v>
      </c>
      <c r="F96" s="66" t="s">
        <v>6</v>
      </c>
      <c r="G96" s="58" t="s">
        <v>144</v>
      </c>
      <c r="H96" s="59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</row>
    <row r="97" spans="1:233">
      <c r="A97" s="56" t="s">
        <v>133</v>
      </c>
      <c r="B97" s="56" t="s">
        <v>134</v>
      </c>
      <c r="C97" s="56" t="s">
        <v>29</v>
      </c>
      <c r="D97" s="60">
        <v>118808</v>
      </c>
      <c r="E97" s="63" t="s">
        <v>19</v>
      </c>
      <c r="F97" s="66" t="s">
        <v>6</v>
      </c>
      <c r="G97" s="58" t="s">
        <v>144</v>
      </c>
      <c r="H97" s="59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</row>
    <row r="98" spans="1:233">
      <c r="A98" s="56" t="s">
        <v>135</v>
      </c>
      <c r="B98" s="56" t="s">
        <v>136</v>
      </c>
      <c r="C98" s="56" t="s">
        <v>30</v>
      </c>
      <c r="D98" s="60">
        <v>1024.94</v>
      </c>
      <c r="E98" s="63" t="s">
        <v>18</v>
      </c>
      <c r="F98" s="66" t="s">
        <v>10</v>
      </c>
      <c r="G98" s="58" t="s">
        <v>112</v>
      </c>
      <c r="H98" s="59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</row>
    <row r="99" spans="1:233">
      <c r="A99" s="56" t="s">
        <v>137</v>
      </c>
      <c r="B99" s="56" t="s">
        <v>138</v>
      </c>
      <c r="C99" s="56" t="s">
        <v>28</v>
      </c>
      <c r="D99" s="60">
        <v>542978.65</v>
      </c>
      <c r="E99" s="63" t="s">
        <v>22</v>
      </c>
      <c r="F99" s="66" t="s">
        <v>14</v>
      </c>
      <c r="G99" s="58" t="s">
        <v>145</v>
      </c>
      <c r="H99" s="59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</row>
    <row r="100" spans="1:233">
      <c r="A100" s="56" t="s">
        <v>137</v>
      </c>
      <c r="B100" s="56" t="s">
        <v>138</v>
      </c>
      <c r="C100" s="56" t="s">
        <v>29</v>
      </c>
      <c r="D100" s="60">
        <v>933960</v>
      </c>
      <c r="E100" s="63" t="s">
        <v>19</v>
      </c>
      <c r="F100" s="66" t="s">
        <v>14</v>
      </c>
      <c r="G100" s="58" t="s">
        <v>101</v>
      </c>
      <c r="H100" s="59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7"/>
      <c r="BZ100" s="7"/>
      <c r="CA100" s="7"/>
      <c r="CB100" s="7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  <c r="CO100" s="7"/>
      <c r="CP100" s="7"/>
      <c r="CQ100" s="7"/>
      <c r="CR100" s="7"/>
      <c r="CS100" s="7"/>
      <c r="CT100" s="7"/>
      <c r="CU100" s="7"/>
      <c r="CV100" s="7"/>
      <c r="CW100" s="7"/>
      <c r="CX100" s="7"/>
      <c r="CY100" s="7"/>
      <c r="CZ100" s="7"/>
      <c r="DA100" s="7"/>
      <c r="DB100" s="7"/>
      <c r="DC100" s="7"/>
      <c r="DD100" s="7"/>
      <c r="DE100" s="7"/>
      <c r="DF100" s="7"/>
      <c r="DG100" s="7"/>
      <c r="DH100" s="7"/>
      <c r="DI100" s="7"/>
      <c r="DJ100" s="7"/>
      <c r="DK100" s="7"/>
      <c r="DL100" s="7"/>
      <c r="DM100" s="7"/>
      <c r="DN100" s="7"/>
      <c r="DO100" s="7"/>
      <c r="DP100" s="7"/>
      <c r="DQ100" s="7"/>
      <c r="DR100" s="7"/>
      <c r="DS100" s="7"/>
      <c r="DT100" s="7"/>
      <c r="DU100" s="7"/>
      <c r="DV100" s="7"/>
      <c r="DW100" s="7"/>
      <c r="DX100" s="7"/>
      <c r="DY100" s="7"/>
      <c r="DZ100" s="7"/>
      <c r="EA100" s="7"/>
      <c r="EB100" s="7"/>
      <c r="EC100" s="7"/>
      <c r="ED100" s="7"/>
      <c r="EE100" s="7"/>
      <c r="EF100" s="7"/>
      <c r="EG100" s="7"/>
      <c r="EH100" s="7"/>
      <c r="EI100" s="7"/>
      <c r="EJ100" s="7"/>
      <c r="EK100" s="7"/>
      <c r="EL100" s="7"/>
      <c r="EM100" s="7"/>
      <c r="EN100" s="7"/>
      <c r="EO100" s="7"/>
      <c r="EP100" s="7"/>
      <c r="EQ100" s="7"/>
      <c r="ER100" s="7"/>
      <c r="ES100" s="7"/>
      <c r="ET100" s="7"/>
      <c r="EU100" s="7"/>
      <c r="EV100" s="7"/>
      <c r="EW100" s="7"/>
      <c r="EX100" s="7"/>
      <c r="EY100" s="7"/>
      <c r="EZ100" s="7"/>
      <c r="FA100" s="7"/>
      <c r="FB100" s="7"/>
      <c r="FC100" s="7"/>
      <c r="FD100" s="7"/>
      <c r="FE100" s="7"/>
      <c r="FF100" s="7"/>
      <c r="FG100" s="7"/>
      <c r="FH100" s="7"/>
      <c r="FI100" s="7"/>
      <c r="FJ100" s="7"/>
      <c r="FK100" s="7"/>
      <c r="FL100" s="7"/>
      <c r="FM100" s="7"/>
      <c r="FN100" s="7"/>
      <c r="FO100" s="7"/>
      <c r="FP100" s="7"/>
      <c r="FQ100" s="7"/>
      <c r="FR100" s="7"/>
      <c r="FS100" s="7"/>
      <c r="FT100" s="7"/>
      <c r="FU100" s="7"/>
      <c r="FV100" s="7"/>
      <c r="FW100" s="7"/>
      <c r="FX100" s="7"/>
      <c r="FY100" s="7"/>
      <c r="FZ100" s="7"/>
      <c r="GA100" s="7"/>
      <c r="GB100" s="7"/>
      <c r="GC100" s="7"/>
      <c r="GD100" s="7"/>
      <c r="GE100" s="7"/>
      <c r="GF100" s="7"/>
      <c r="GG100" s="7"/>
      <c r="GH100" s="7"/>
      <c r="GI100" s="7"/>
      <c r="GJ100" s="7"/>
      <c r="GK100" s="7"/>
      <c r="GL100" s="7"/>
      <c r="GM100" s="7"/>
      <c r="GN100" s="7"/>
      <c r="GO100" s="7"/>
      <c r="GP100" s="7"/>
      <c r="GQ100" s="7"/>
      <c r="GR100" s="7"/>
      <c r="GS100" s="7"/>
      <c r="GT100" s="7"/>
      <c r="GU100" s="7"/>
      <c r="GV100" s="7"/>
      <c r="GW100" s="7"/>
      <c r="GX100" s="7"/>
      <c r="GY100" s="7"/>
      <c r="GZ100" s="7"/>
      <c r="HA100" s="7"/>
      <c r="HB100" s="7"/>
      <c r="HC100" s="7"/>
      <c r="HD100" s="7"/>
      <c r="HE100" s="7"/>
      <c r="HF100" s="7"/>
      <c r="HG100" s="7"/>
      <c r="HH100" s="7"/>
      <c r="HI100" s="7"/>
      <c r="HJ100" s="7"/>
      <c r="HK100" s="7"/>
      <c r="HL100" s="7"/>
      <c r="HM100" s="7"/>
      <c r="HN100" s="7"/>
      <c r="HO100" s="7"/>
      <c r="HP100" s="7"/>
      <c r="HQ100" s="7"/>
      <c r="HR100" s="7"/>
      <c r="HS100" s="7"/>
      <c r="HT100" s="7"/>
      <c r="HU100" s="7"/>
      <c r="HV100" s="7"/>
      <c r="HW100" s="7"/>
      <c r="HX100" s="7"/>
      <c r="HY100" s="7"/>
    </row>
    <row r="101" spans="1:233">
      <c r="A101" s="56" t="s">
        <v>137</v>
      </c>
      <c r="B101" s="56" t="s">
        <v>138</v>
      </c>
      <c r="C101" s="56" t="s">
        <v>30</v>
      </c>
      <c r="D101" s="60">
        <v>362290.2</v>
      </c>
      <c r="E101" s="63" t="s">
        <v>18</v>
      </c>
      <c r="F101" s="66" t="s">
        <v>14</v>
      </c>
      <c r="G101" s="58" t="s">
        <v>47</v>
      </c>
      <c r="H101" s="59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7"/>
      <c r="BZ101" s="7"/>
      <c r="CA101" s="7"/>
      <c r="CB101" s="7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  <c r="CO101" s="7"/>
      <c r="CP101" s="7"/>
      <c r="CQ101" s="7"/>
      <c r="CR101" s="7"/>
      <c r="CS101" s="7"/>
      <c r="CT101" s="7"/>
      <c r="CU101" s="7"/>
      <c r="CV101" s="7"/>
      <c r="CW101" s="7"/>
      <c r="CX101" s="7"/>
      <c r="CY101" s="7"/>
      <c r="CZ101" s="7"/>
      <c r="DA101" s="7"/>
      <c r="DB101" s="7"/>
      <c r="DC101" s="7"/>
      <c r="DD101" s="7"/>
      <c r="DE101" s="7"/>
      <c r="DF101" s="7"/>
      <c r="DG101" s="7"/>
      <c r="DH101" s="7"/>
      <c r="DI101" s="7"/>
      <c r="DJ101" s="7"/>
      <c r="DK101" s="7"/>
      <c r="DL101" s="7"/>
      <c r="DM101" s="7"/>
      <c r="DN101" s="7"/>
      <c r="DO101" s="7"/>
      <c r="DP101" s="7"/>
      <c r="DQ101" s="7"/>
      <c r="DR101" s="7"/>
      <c r="DS101" s="7"/>
      <c r="DT101" s="7"/>
      <c r="DU101" s="7"/>
      <c r="DV101" s="7"/>
      <c r="DW101" s="7"/>
      <c r="DX101" s="7"/>
      <c r="DY101" s="7"/>
      <c r="DZ101" s="7"/>
      <c r="EA101" s="7"/>
      <c r="EB101" s="7"/>
      <c r="EC101" s="7"/>
      <c r="ED101" s="7"/>
      <c r="EE101" s="7"/>
      <c r="EF101" s="7"/>
      <c r="EG101" s="7"/>
      <c r="EH101" s="7"/>
      <c r="EI101" s="7"/>
      <c r="EJ101" s="7"/>
      <c r="EK101" s="7"/>
      <c r="EL101" s="7"/>
      <c r="EM101" s="7"/>
      <c r="EN101" s="7"/>
      <c r="EO101" s="7"/>
      <c r="EP101" s="7"/>
      <c r="EQ101" s="7"/>
      <c r="ER101" s="7"/>
      <c r="ES101" s="7"/>
      <c r="ET101" s="7"/>
      <c r="EU101" s="7"/>
      <c r="EV101" s="7"/>
      <c r="EW101" s="7"/>
      <c r="EX101" s="7"/>
      <c r="EY101" s="7"/>
      <c r="EZ101" s="7"/>
      <c r="FA101" s="7"/>
      <c r="FB101" s="7"/>
      <c r="FC101" s="7"/>
      <c r="FD101" s="7"/>
      <c r="FE101" s="7"/>
      <c r="FF101" s="7"/>
      <c r="FG101" s="7"/>
      <c r="FH101" s="7"/>
      <c r="FI101" s="7"/>
      <c r="FJ101" s="7"/>
      <c r="FK101" s="7"/>
      <c r="FL101" s="7"/>
      <c r="FM101" s="7"/>
      <c r="FN101" s="7"/>
      <c r="FO101" s="7"/>
      <c r="FP101" s="7"/>
      <c r="FQ101" s="7"/>
      <c r="FR101" s="7"/>
      <c r="FS101" s="7"/>
      <c r="FT101" s="7"/>
      <c r="FU101" s="7"/>
      <c r="FV101" s="7"/>
      <c r="FW101" s="7"/>
      <c r="FX101" s="7"/>
      <c r="FY101" s="7"/>
      <c r="FZ101" s="7"/>
      <c r="GA101" s="7"/>
      <c r="GB101" s="7"/>
      <c r="GC101" s="7"/>
      <c r="GD101" s="7"/>
      <c r="GE101" s="7"/>
      <c r="GF101" s="7"/>
      <c r="GG101" s="7"/>
      <c r="GH101" s="7"/>
      <c r="GI101" s="7"/>
      <c r="GJ101" s="7"/>
      <c r="GK101" s="7"/>
      <c r="GL101" s="7"/>
      <c r="GM101" s="7"/>
      <c r="GN101" s="7"/>
      <c r="GO101" s="7"/>
      <c r="GP101" s="7"/>
      <c r="GQ101" s="7"/>
      <c r="GR101" s="7"/>
      <c r="GS101" s="7"/>
      <c r="GT101" s="7"/>
      <c r="GU101" s="7"/>
      <c r="GV101" s="7"/>
      <c r="GW101" s="7"/>
      <c r="GX101" s="7"/>
      <c r="GY101" s="7"/>
      <c r="GZ101" s="7"/>
      <c r="HA101" s="7"/>
      <c r="HB101" s="7"/>
      <c r="HC101" s="7"/>
      <c r="HD101" s="7"/>
      <c r="HE101" s="7"/>
      <c r="HF101" s="7"/>
      <c r="HG101" s="7"/>
      <c r="HH101" s="7"/>
      <c r="HI101" s="7"/>
      <c r="HJ101" s="7"/>
      <c r="HK101" s="7"/>
      <c r="HL101" s="7"/>
      <c r="HM101" s="7"/>
      <c r="HN101" s="7"/>
      <c r="HO101" s="7"/>
      <c r="HP101" s="7"/>
      <c r="HQ101" s="7"/>
      <c r="HR101" s="7"/>
      <c r="HS101" s="7"/>
      <c r="HT101" s="7"/>
      <c r="HU101" s="7"/>
      <c r="HV101" s="7"/>
      <c r="HW101" s="7"/>
      <c r="HX101" s="7"/>
      <c r="HY101" s="7"/>
    </row>
    <row r="102" spans="1:233">
      <c r="A102" s="56" t="s">
        <v>137</v>
      </c>
      <c r="B102" s="56" t="s">
        <v>138</v>
      </c>
      <c r="C102" s="56" t="s">
        <v>30</v>
      </c>
      <c r="D102" s="60">
        <v>34480.199999999997</v>
      </c>
      <c r="E102" s="63" t="s">
        <v>18</v>
      </c>
      <c r="F102" s="66" t="s">
        <v>14</v>
      </c>
      <c r="G102" s="58" t="s">
        <v>47</v>
      </c>
      <c r="H102" s="59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7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/>
      <c r="CQ102" s="7"/>
      <c r="CR102" s="7"/>
      <c r="CS102" s="7"/>
      <c r="CT102" s="7"/>
      <c r="CU102" s="7"/>
      <c r="CV102" s="7"/>
      <c r="CW102" s="7"/>
      <c r="CX102" s="7"/>
      <c r="CY102" s="7"/>
      <c r="CZ102" s="7"/>
      <c r="DA102" s="7"/>
      <c r="DB102" s="7"/>
      <c r="DC102" s="7"/>
      <c r="DD102" s="7"/>
      <c r="DE102" s="7"/>
      <c r="DF102" s="7"/>
      <c r="DG102" s="7"/>
      <c r="DH102" s="7"/>
      <c r="DI102" s="7"/>
      <c r="DJ102" s="7"/>
      <c r="DK102" s="7"/>
      <c r="DL102" s="7"/>
      <c r="DM102" s="7"/>
      <c r="DN102" s="7"/>
      <c r="DO102" s="7"/>
      <c r="DP102" s="7"/>
      <c r="DQ102" s="7"/>
      <c r="DR102" s="7"/>
      <c r="DS102" s="7"/>
      <c r="DT102" s="7"/>
      <c r="DU102" s="7"/>
      <c r="DV102" s="7"/>
      <c r="DW102" s="7"/>
      <c r="DX102" s="7"/>
      <c r="DY102" s="7"/>
      <c r="DZ102" s="7"/>
      <c r="EA102" s="7"/>
      <c r="EB102" s="7"/>
      <c r="EC102" s="7"/>
      <c r="ED102" s="7"/>
      <c r="EE102" s="7"/>
      <c r="EF102" s="7"/>
      <c r="EG102" s="7"/>
      <c r="EH102" s="7"/>
      <c r="EI102" s="7"/>
      <c r="EJ102" s="7"/>
      <c r="EK102" s="7"/>
      <c r="EL102" s="7"/>
      <c r="EM102" s="7"/>
      <c r="EN102" s="7"/>
      <c r="EO102" s="7"/>
      <c r="EP102" s="7"/>
      <c r="EQ102" s="7"/>
      <c r="ER102" s="7"/>
      <c r="ES102" s="7"/>
      <c r="ET102" s="7"/>
      <c r="EU102" s="7"/>
      <c r="EV102" s="7"/>
      <c r="EW102" s="7"/>
      <c r="EX102" s="7"/>
      <c r="EY102" s="7"/>
      <c r="EZ102" s="7"/>
      <c r="FA102" s="7"/>
      <c r="FB102" s="7"/>
      <c r="FC102" s="7"/>
      <c r="FD102" s="7"/>
      <c r="FE102" s="7"/>
      <c r="FF102" s="7"/>
      <c r="FG102" s="7"/>
      <c r="FH102" s="7"/>
      <c r="FI102" s="7"/>
      <c r="FJ102" s="7"/>
      <c r="FK102" s="7"/>
      <c r="FL102" s="7"/>
      <c r="FM102" s="7"/>
      <c r="FN102" s="7"/>
      <c r="FO102" s="7"/>
      <c r="FP102" s="7"/>
      <c r="FQ102" s="7"/>
      <c r="FR102" s="7"/>
      <c r="FS102" s="7"/>
      <c r="FT102" s="7"/>
      <c r="FU102" s="7"/>
      <c r="FV102" s="7"/>
      <c r="FW102" s="7"/>
      <c r="FX102" s="7"/>
      <c r="FY102" s="7"/>
      <c r="FZ102" s="7"/>
      <c r="GA102" s="7"/>
      <c r="GB102" s="7"/>
      <c r="GC102" s="7"/>
      <c r="GD102" s="7"/>
      <c r="GE102" s="7"/>
      <c r="GF102" s="7"/>
      <c r="GG102" s="7"/>
      <c r="GH102" s="7"/>
      <c r="GI102" s="7"/>
      <c r="GJ102" s="7"/>
      <c r="GK102" s="7"/>
      <c r="GL102" s="7"/>
      <c r="GM102" s="7"/>
      <c r="GN102" s="7"/>
      <c r="GO102" s="7"/>
      <c r="GP102" s="7"/>
      <c r="GQ102" s="7"/>
      <c r="GR102" s="7"/>
      <c r="GS102" s="7"/>
      <c r="GT102" s="7"/>
      <c r="GU102" s="7"/>
      <c r="GV102" s="7"/>
      <c r="GW102" s="7"/>
      <c r="GX102" s="7"/>
      <c r="GY102" s="7"/>
      <c r="GZ102" s="7"/>
      <c r="HA102" s="7"/>
      <c r="HB102" s="7"/>
      <c r="HC102" s="7"/>
      <c r="HD102" s="7"/>
      <c r="HE102" s="7"/>
      <c r="HF102" s="7"/>
      <c r="HG102" s="7"/>
      <c r="HH102" s="7"/>
      <c r="HI102" s="7"/>
      <c r="HJ102" s="7"/>
      <c r="HK102" s="7"/>
      <c r="HL102" s="7"/>
      <c r="HM102" s="7"/>
      <c r="HN102" s="7"/>
      <c r="HO102" s="7"/>
      <c r="HP102" s="7"/>
      <c r="HQ102" s="7"/>
      <c r="HR102" s="7"/>
      <c r="HS102" s="7"/>
      <c r="HT102" s="7"/>
      <c r="HU102" s="7"/>
      <c r="HV102" s="7"/>
      <c r="HW102" s="7"/>
      <c r="HX102" s="7"/>
      <c r="HY102" s="7"/>
    </row>
    <row r="103" spans="1:233">
      <c r="A103" s="56" t="s">
        <v>137</v>
      </c>
      <c r="B103" s="56" t="s">
        <v>138</v>
      </c>
      <c r="C103" s="56" t="s">
        <v>75</v>
      </c>
      <c r="D103" s="60">
        <v>1434124</v>
      </c>
      <c r="E103" s="63" t="s">
        <v>19</v>
      </c>
      <c r="F103" s="66" t="s">
        <v>14</v>
      </c>
      <c r="G103" s="58" t="s">
        <v>101</v>
      </c>
      <c r="H103" s="59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7"/>
      <c r="BY103" s="7"/>
      <c r="BZ103" s="7"/>
      <c r="CA103" s="7"/>
      <c r="CB103" s="7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  <c r="CO103" s="7"/>
      <c r="CP103" s="7"/>
      <c r="CQ103" s="7"/>
      <c r="CR103" s="7"/>
      <c r="CS103" s="7"/>
      <c r="CT103" s="7"/>
      <c r="CU103" s="7"/>
      <c r="CV103" s="7"/>
      <c r="CW103" s="7"/>
      <c r="CX103" s="7"/>
      <c r="CY103" s="7"/>
      <c r="CZ103" s="7"/>
      <c r="DA103" s="7"/>
      <c r="DB103" s="7"/>
      <c r="DC103" s="7"/>
      <c r="DD103" s="7"/>
      <c r="DE103" s="7"/>
      <c r="DF103" s="7"/>
      <c r="DG103" s="7"/>
      <c r="DH103" s="7"/>
      <c r="DI103" s="7"/>
      <c r="DJ103" s="7"/>
      <c r="DK103" s="7"/>
      <c r="DL103" s="7"/>
      <c r="DM103" s="7"/>
      <c r="DN103" s="7"/>
      <c r="DO103" s="7"/>
      <c r="DP103" s="7"/>
      <c r="DQ103" s="7"/>
      <c r="DR103" s="7"/>
      <c r="DS103" s="7"/>
      <c r="DT103" s="7"/>
      <c r="DU103" s="7"/>
      <c r="DV103" s="7"/>
      <c r="DW103" s="7"/>
      <c r="DX103" s="7"/>
      <c r="DY103" s="7"/>
      <c r="DZ103" s="7"/>
      <c r="EA103" s="7"/>
      <c r="EB103" s="7"/>
      <c r="EC103" s="7"/>
      <c r="ED103" s="7"/>
      <c r="EE103" s="7"/>
      <c r="EF103" s="7"/>
      <c r="EG103" s="7"/>
      <c r="EH103" s="7"/>
      <c r="EI103" s="7"/>
      <c r="EJ103" s="7"/>
      <c r="EK103" s="7"/>
      <c r="EL103" s="7"/>
      <c r="EM103" s="7"/>
      <c r="EN103" s="7"/>
      <c r="EO103" s="7"/>
      <c r="EP103" s="7"/>
      <c r="EQ103" s="7"/>
      <c r="ER103" s="7"/>
      <c r="ES103" s="7"/>
      <c r="ET103" s="7"/>
      <c r="EU103" s="7"/>
      <c r="EV103" s="7"/>
      <c r="EW103" s="7"/>
      <c r="EX103" s="7"/>
      <c r="EY103" s="7"/>
      <c r="EZ103" s="7"/>
      <c r="FA103" s="7"/>
      <c r="FB103" s="7"/>
      <c r="FC103" s="7"/>
      <c r="FD103" s="7"/>
      <c r="FE103" s="7"/>
      <c r="FF103" s="7"/>
      <c r="FG103" s="7"/>
      <c r="FH103" s="7"/>
      <c r="FI103" s="7"/>
      <c r="FJ103" s="7"/>
      <c r="FK103" s="7"/>
      <c r="FL103" s="7"/>
      <c r="FM103" s="7"/>
      <c r="FN103" s="7"/>
      <c r="FO103" s="7"/>
      <c r="FP103" s="7"/>
      <c r="FQ103" s="7"/>
      <c r="FR103" s="7"/>
      <c r="FS103" s="7"/>
      <c r="FT103" s="7"/>
      <c r="FU103" s="7"/>
      <c r="FV103" s="7"/>
      <c r="FW103" s="7"/>
      <c r="FX103" s="7"/>
      <c r="FY103" s="7"/>
      <c r="FZ103" s="7"/>
      <c r="GA103" s="7"/>
      <c r="GB103" s="7"/>
      <c r="GC103" s="7"/>
      <c r="GD103" s="7"/>
      <c r="GE103" s="7"/>
      <c r="GF103" s="7"/>
      <c r="GG103" s="7"/>
      <c r="GH103" s="7"/>
      <c r="GI103" s="7"/>
      <c r="GJ103" s="7"/>
      <c r="GK103" s="7"/>
      <c r="GL103" s="7"/>
      <c r="GM103" s="7"/>
      <c r="GN103" s="7"/>
      <c r="GO103" s="7"/>
      <c r="GP103" s="7"/>
      <c r="GQ103" s="7"/>
      <c r="GR103" s="7"/>
      <c r="GS103" s="7"/>
      <c r="GT103" s="7"/>
      <c r="GU103" s="7"/>
      <c r="GV103" s="7"/>
      <c r="GW103" s="7"/>
      <c r="GX103" s="7"/>
      <c r="GY103" s="7"/>
      <c r="GZ103" s="7"/>
      <c r="HA103" s="7"/>
      <c r="HB103" s="7"/>
      <c r="HC103" s="7"/>
      <c r="HD103" s="7"/>
      <c r="HE103" s="7"/>
      <c r="HF103" s="7"/>
      <c r="HG103" s="7"/>
      <c r="HH103" s="7"/>
      <c r="HI103" s="7"/>
      <c r="HJ103" s="7"/>
      <c r="HK103" s="7"/>
      <c r="HL103" s="7"/>
      <c r="HM103" s="7"/>
      <c r="HN103" s="7"/>
      <c r="HO103" s="7"/>
      <c r="HP103" s="7"/>
      <c r="HQ103" s="7"/>
      <c r="HR103" s="7"/>
      <c r="HS103" s="7"/>
      <c r="HT103" s="7"/>
      <c r="HU103" s="7"/>
      <c r="HV103" s="7"/>
      <c r="HW103" s="7"/>
      <c r="HX103" s="7"/>
      <c r="HY103" s="7"/>
    </row>
    <row r="104" spans="1:233">
      <c r="A104" s="56" t="s">
        <v>139</v>
      </c>
      <c r="B104" s="56" t="s">
        <v>136</v>
      </c>
      <c r="C104" s="56" t="s">
        <v>28</v>
      </c>
      <c r="D104" s="60">
        <v>832438.75</v>
      </c>
      <c r="E104" s="63" t="s">
        <v>22</v>
      </c>
      <c r="F104" s="66" t="s">
        <v>13</v>
      </c>
      <c r="G104" s="58" t="s">
        <v>146</v>
      </c>
      <c r="H104" s="59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  <c r="CR104" s="7"/>
      <c r="CS104" s="7"/>
      <c r="CT104" s="7"/>
      <c r="CU104" s="7"/>
      <c r="CV104" s="7"/>
      <c r="CW104" s="7"/>
      <c r="CX104" s="7"/>
      <c r="CY104" s="7"/>
      <c r="CZ104" s="7"/>
      <c r="DA104" s="7"/>
      <c r="DB104" s="7"/>
      <c r="DC104" s="7"/>
      <c r="DD104" s="7"/>
      <c r="DE104" s="7"/>
      <c r="DF104" s="7"/>
      <c r="DG104" s="7"/>
      <c r="DH104" s="7"/>
      <c r="DI104" s="7"/>
      <c r="DJ104" s="7"/>
      <c r="DK104" s="7"/>
      <c r="DL104" s="7"/>
      <c r="DM104" s="7"/>
      <c r="DN104" s="7"/>
      <c r="DO104" s="7"/>
      <c r="DP104" s="7"/>
      <c r="DQ104" s="7"/>
      <c r="DR104" s="7"/>
      <c r="DS104" s="7"/>
      <c r="DT104" s="7"/>
      <c r="DU104" s="7"/>
      <c r="DV104" s="7"/>
      <c r="DW104" s="7"/>
      <c r="DX104" s="7"/>
      <c r="DY104" s="7"/>
      <c r="DZ104" s="7"/>
      <c r="EA104" s="7"/>
      <c r="EB104" s="7"/>
      <c r="EC104" s="7"/>
      <c r="ED104" s="7"/>
      <c r="EE104" s="7"/>
      <c r="EF104" s="7"/>
      <c r="EG104" s="7"/>
      <c r="EH104" s="7"/>
      <c r="EI104" s="7"/>
      <c r="EJ104" s="7"/>
      <c r="EK104" s="7"/>
      <c r="EL104" s="7"/>
      <c r="EM104" s="7"/>
      <c r="EN104" s="7"/>
      <c r="EO104" s="7"/>
      <c r="EP104" s="7"/>
      <c r="EQ104" s="7"/>
      <c r="ER104" s="7"/>
      <c r="ES104" s="7"/>
      <c r="ET104" s="7"/>
      <c r="EU104" s="7"/>
      <c r="EV104" s="7"/>
      <c r="EW104" s="7"/>
      <c r="EX104" s="7"/>
      <c r="EY104" s="7"/>
      <c r="EZ104" s="7"/>
      <c r="FA104" s="7"/>
      <c r="FB104" s="7"/>
      <c r="FC104" s="7"/>
      <c r="FD104" s="7"/>
      <c r="FE104" s="7"/>
      <c r="FF104" s="7"/>
      <c r="FG104" s="7"/>
      <c r="FH104" s="7"/>
      <c r="FI104" s="7"/>
      <c r="FJ104" s="7"/>
      <c r="FK104" s="7"/>
      <c r="FL104" s="7"/>
      <c r="FM104" s="7"/>
      <c r="FN104" s="7"/>
      <c r="FO104" s="7"/>
      <c r="FP104" s="7"/>
      <c r="FQ104" s="7"/>
      <c r="FR104" s="7"/>
      <c r="FS104" s="7"/>
      <c r="FT104" s="7"/>
      <c r="FU104" s="7"/>
      <c r="FV104" s="7"/>
      <c r="FW104" s="7"/>
      <c r="FX104" s="7"/>
      <c r="FY104" s="7"/>
      <c r="FZ104" s="7"/>
      <c r="GA104" s="7"/>
      <c r="GB104" s="7"/>
      <c r="GC104" s="7"/>
      <c r="GD104" s="7"/>
      <c r="GE104" s="7"/>
      <c r="GF104" s="7"/>
      <c r="GG104" s="7"/>
      <c r="GH104" s="7"/>
      <c r="GI104" s="7"/>
      <c r="GJ104" s="7"/>
      <c r="GK104" s="7"/>
      <c r="GL104" s="7"/>
      <c r="GM104" s="7"/>
      <c r="GN104" s="7"/>
      <c r="GO104" s="7"/>
      <c r="GP104" s="7"/>
      <c r="GQ104" s="7"/>
      <c r="GR104" s="7"/>
      <c r="GS104" s="7"/>
      <c r="GT104" s="7"/>
      <c r="GU104" s="7"/>
      <c r="GV104" s="7"/>
      <c r="GW104" s="7"/>
      <c r="GX104" s="7"/>
      <c r="GY104" s="7"/>
      <c r="GZ104" s="7"/>
      <c r="HA104" s="7"/>
      <c r="HB104" s="7"/>
      <c r="HC104" s="7"/>
      <c r="HD104" s="7"/>
      <c r="HE104" s="7"/>
      <c r="HF104" s="7"/>
      <c r="HG104" s="7"/>
      <c r="HH104" s="7"/>
      <c r="HI104" s="7"/>
      <c r="HJ104" s="7"/>
      <c r="HK104" s="7"/>
      <c r="HL104" s="7"/>
      <c r="HM104" s="7"/>
      <c r="HN104" s="7"/>
      <c r="HO104" s="7"/>
      <c r="HP104" s="7"/>
      <c r="HQ104" s="7"/>
      <c r="HR104" s="7"/>
      <c r="HS104" s="7"/>
      <c r="HT104" s="7"/>
      <c r="HU104" s="7"/>
      <c r="HV104" s="7"/>
      <c r="HW104" s="7"/>
      <c r="HX104" s="7"/>
      <c r="HY104" s="7"/>
    </row>
    <row r="105" spans="1:233">
      <c r="A105" s="56" t="s">
        <v>139</v>
      </c>
      <c r="B105" s="56" t="s">
        <v>136</v>
      </c>
      <c r="C105" s="56" t="s">
        <v>29</v>
      </c>
      <c r="D105" s="60">
        <v>1613773.55</v>
      </c>
      <c r="E105" s="63" t="s">
        <v>19</v>
      </c>
      <c r="F105" s="66" t="s">
        <v>13</v>
      </c>
      <c r="G105" s="58" t="s">
        <v>147</v>
      </c>
      <c r="H105" s="59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  <c r="CO105" s="7"/>
      <c r="CP105" s="7"/>
      <c r="CQ105" s="7"/>
      <c r="CR105" s="7"/>
      <c r="CS105" s="7"/>
      <c r="CT105" s="7"/>
      <c r="CU105" s="7"/>
      <c r="CV105" s="7"/>
      <c r="CW105" s="7"/>
      <c r="CX105" s="7"/>
      <c r="CY105" s="7"/>
      <c r="CZ105" s="7"/>
      <c r="DA105" s="7"/>
      <c r="DB105" s="7"/>
      <c r="DC105" s="7"/>
      <c r="DD105" s="7"/>
      <c r="DE105" s="7"/>
      <c r="DF105" s="7"/>
      <c r="DG105" s="7"/>
      <c r="DH105" s="7"/>
      <c r="DI105" s="7"/>
      <c r="DJ105" s="7"/>
      <c r="DK105" s="7"/>
      <c r="DL105" s="7"/>
      <c r="DM105" s="7"/>
      <c r="DN105" s="7"/>
      <c r="DO105" s="7"/>
      <c r="DP105" s="7"/>
      <c r="DQ105" s="7"/>
      <c r="DR105" s="7"/>
      <c r="DS105" s="7"/>
      <c r="DT105" s="7"/>
      <c r="DU105" s="7"/>
      <c r="DV105" s="7"/>
      <c r="DW105" s="7"/>
      <c r="DX105" s="7"/>
      <c r="DY105" s="7"/>
      <c r="DZ105" s="7"/>
      <c r="EA105" s="7"/>
      <c r="EB105" s="7"/>
      <c r="EC105" s="7"/>
      <c r="ED105" s="7"/>
      <c r="EE105" s="7"/>
      <c r="EF105" s="7"/>
      <c r="EG105" s="7"/>
      <c r="EH105" s="7"/>
      <c r="EI105" s="7"/>
      <c r="EJ105" s="7"/>
      <c r="EK105" s="7"/>
      <c r="EL105" s="7"/>
      <c r="EM105" s="7"/>
      <c r="EN105" s="7"/>
      <c r="EO105" s="7"/>
      <c r="EP105" s="7"/>
      <c r="EQ105" s="7"/>
      <c r="ER105" s="7"/>
      <c r="ES105" s="7"/>
      <c r="ET105" s="7"/>
      <c r="EU105" s="7"/>
      <c r="EV105" s="7"/>
      <c r="EW105" s="7"/>
      <c r="EX105" s="7"/>
      <c r="EY105" s="7"/>
      <c r="EZ105" s="7"/>
      <c r="FA105" s="7"/>
      <c r="FB105" s="7"/>
      <c r="FC105" s="7"/>
      <c r="FD105" s="7"/>
      <c r="FE105" s="7"/>
      <c r="FF105" s="7"/>
      <c r="FG105" s="7"/>
      <c r="FH105" s="7"/>
      <c r="FI105" s="7"/>
      <c r="FJ105" s="7"/>
      <c r="FK105" s="7"/>
      <c r="FL105" s="7"/>
      <c r="FM105" s="7"/>
      <c r="FN105" s="7"/>
      <c r="FO105" s="7"/>
      <c r="FP105" s="7"/>
      <c r="FQ105" s="7"/>
      <c r="FR105" s="7"/>
      <c r="FS105" s="7"/>
      <c r="FT105" s="7"/>
      <c r="FU105" s="7"/>
      <c r="FV105" s="7"/>
      <c r="FW105" s="7"/>
      <c r="FX105" s="7"/>
      <c r="FY105" s="7"/>
      <c r="FZ105" s="7"/>
      <c r="GA105" s="7"/>
      <c r="GB105" s="7"/>
      <c r="GC105" s="7"/>
      <c r="GD105" s="7"/>
      <c r="GE105" s="7"/>
      <c r="GF105" s="7"/>
      <c r="GG105" s="7"/>
      <c r="GH105" s="7"/>
      <c r="GI105" s="7"/>
      <c r="GJ105" s="7"/>
      <c r="GK105" s="7"/>
      <c r="GL105" s="7"/>
      <c r="GM105" s="7"/>
      <c r="GN105" s="7"/>
      <c r="GO105" s="7"/>
      <c r="GP105" s="7"/>
      <c r="GQ105" s="7"/>
      <c r="GR105" s="7"/>
      <c r="GS105" s="7"/>
      <c r="GT105" s="7"/>
      <c r="GU105" s="7"/>
      <c r="GV105" s="7"/>
      <c r="GW105" s="7"/>
      <c r="GX105" s="7"/>
      <c r="GY105" s="7"/>
      <c r="GZ105" s="7"/>
      <c r="HA105" s="7"/>
      <c r="HB105" s="7"/>
      <c r="HC105" s="7"/>
      <c r="HD105" s="7"/>
      <c r="HE105" s="7"/>
      <c r="HF105" s="7"/>
      <c r="HG105" s="7"/>
      <c r="HH105" s="7"/>
      <c r="HI105" s="7"/>
      <c r="HJ105" s="7"/>
      <c r="HK105" s="7"/>
      <c r="HL105" s="7"/>
      <c r="HM105" s="7"/>
      <c r="HN105" s="7"/>
      <c r="HO105" s="7"/>
      <c r="HP105" s="7"/>
      <c r="HQ105" s="7"/>
      <c r="HR105" s="7"/>
      <c r="HS105" s="7"/>
      <c r="HT105" s="7"/>
      <c r="HU105" s="7"/>
      <c r="HV105" s="7"/>
      <c r="HW105" s="7"/>
      <c r="HX105" s="7"/>
      <c r="HY105" s="7"/>
    </row>
    <row r="106" spans="1:233">
      <c r="A106" s="56" t="s">
        <v>142</v>
      </c>
      <c r="B106" s="56" t="s">
        <v>138</v>
      </c>
      <c r="C106" s="56" t="s">
        <v>28</v>
      </c>
      <c r="D106" s="60">
        <v>111226</v>
      </c>
      <c r="E106" s="63" t="s">
        <v>22</v>
      </c>
      <c r="F106" s="66" t="s">
        <v>9</v>
      </c>
      <c r="G106" s="58" t="s">
        <v>55</v>
      </c>
      <c r="H106" s="59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/>
      <c r="CQ106" s="7"/>
      <c r="CR106" s="7"/>
      <c r="CS106" s="7"/>
      <c r="CT106" s="7"/>
      <c r="CU106" s="7"/>
      <c r="CV106" s="7"/>
      <c r="CW106" s="7"/>
      <c r="CX106" s="7"/>
      <c r="CY106" s="7"/>
      <c r="CZ106" s="7"/>
      <c r="DA106" s="7"/>
      <c r="DB106" s="7"/>
      <c r="DC106" s="7"/>
      <c r="DD106" s="7"/>
      <c r="DE106" s="7"/>
      <c r="DF106" s="7"/>
      <c r="DG106" s="7"/>
      <c r="DH106" s="7"/>
      <c r="DI106" s="7"/>
      <c r="DJ106" s="7"/>
      <c r="DK106" s="7"/>
      <c r="DL106" s="7"/>
      <c r="DM106" s="7"/>
      <c r="DN106" s="7"/>
      <c r="DO106" s="7"/>
      <c r="DP106" s="7"/>
      <c r="DQ106" s="7"/>
      <c r="DR106" s="7"/>
      <c r="DS106" s="7"/>
      <c r="DT106" s="7"/>
      <c r="DU106" s="7"/>
      <c r="DV106" s="7"/>
      <c r="DW106" s="7"/>
      <c r="DX106" s="7"/>
      <c r="DY106" s="7"/>
      <c r="DZ106" s="7"/>
      <c r="EA106" s="7"/>
      <c r="EB106" s="7"/>
      <c r="EC106" s="7"/>
      <c r="ED106" s="7"/>
      <c r="EE106" s="7"/>
      <c r="EF106" s="7"/>
      <c r="EG106" s="7"/>
      <c r="EH106" s="7"/>
      <c r="EI106" s="7"/>
      <c r="EJ106" s="7"/>
      <c r="EK106" s="7"/>
      <c r="EL106" s="7"/>
      <c r="EM106" s="7"/>
      <c r="EN106" s="7"/>
      <c r="EO106" s="7"/>
      <c r="EP106" s="7"/>
      <c r="EQ106" s="7"/>
      <c r="ER106" s="7"/>
      <c r="ES106" s="7"/>
      <c r="ET106" s="7"/>
      <c r="EU106" s="7"/>
      <c r="EV106" s="7"/>
      <c r="EW106" s="7"/>
      <c r="EX106" s="7"/>
      <c r="EY106" s="7"/>
      <c r="EZ106" s="7"/>
      <c r="FA106" s="7"/>
      <c r="FB106" s="7"/>
      <c r="FC106" s="7"/>
      <c r="FD106" s="7"/>
      <c r="FE106" s="7"/>
      <c r="FF106" s="7"/>
      <c r="FG106" s="7"/>
      <c r="FH106" s="7"/>
      <c r="FI106" s="7"/>
      <c r="FJ106" s="7"/>
      <c r="FK106" s="7"/>
      <c r="FL106" s="7"/>
      <c r="FM106" s="7"/>
      <c r="FN106" s="7"/>
      <c r="FO106" s="7"/>
      <c r="FP106" s="7"/>
      <c r="FQ106" s="7"/>
      <c r="FR106" s="7"/>
      <c r="FS106" s="7"/>
      <c r="FT106" s="7"/>
      <c r="FU106" s="7"/>
      <c r="FV106" s="7"/>
      <c r="FW106" s="7"/>
      <c r="FX106" s="7"/>
      <c r="FY106" s="7"/>
      <c r="FZ106" s="7"/>
      <c r="GA106" s="7"/>
      <c r="GB106" s="7"/>
      <c r="GC106" s="7"/>
      <c r="GD106" s="7"/>
      <c r="GE106" s="7"/>
      <c r="GF106" s="7"/>
      <c r="GG106" s="7"/>
      <c r="GH106" s="7"/>
      <c r="GI106" s="7"/>
      <c r="GJ106" s="7"/>
      <c r="GK106" s="7"/>
      <c r="GL106" s="7"/>
      <c r="GM106" s="7"/>
      <c r="GN106" s="7"/>
      <c r="GO106" s="7"/>
      <c r="GP106" s="7"/>
      <c r="GQ106" s="7"/>
      <c r="GR106" s="7"/>
      <c r="GS106" s="7"/>
      <c r="GT106" s="7"/>
      <c r="GU106" s="7"/>
      <c r="GV106" s="7"/>
      <c r="GW106" s="7"/>
      <c r="GX106" s="7"/>
      <c r="GY106" s="7"/>
      <c r="GZ106" s="7"/>
      <c r="HA106" s="7"/>
      <c r="HB106" s="7"/>
      <c r="HC106" s="7"/>
      <c r="HD106" s="7"/>
      <c r="HE106" s="7"/>
      <c r="HF106" s="7"/>
      <c r="HG106" s="7"/>
      <c r="HH106" s="7"/>
      <c r="HI106" s="7"/>
      <c r="HJ106" s="7"/>
      <c r="HK106" s="7"/>
      <c r="HL106" s="7"/>
      <c r="HM106" s="7"/>
      <c r="HN106" s="7"/>
      <c r="HO106" s="7"/>
      <c r="HP106" s="7"/>
      <c r="HQ106" s="7"/>
      <c r="HR106" s="7"/>
      <c r="HS106" s="7"/>
      <c r="HT106" s="7"/>
      <c r="HU106" s="7"/>
      <c r="HV106" s="7"/>
      <c r="HW106" s="7"/>
      <c r="HX106" s="7"/>
      <c r="HY106" s="7"/>
    </row>
    <row r="107" spans="1:233">
      <c r="A107" s="56" t="s">
        <v>142</v>
      </c>
      <c r="B107" s="56" t="s">
        <v>138</v>
      </c>
      <c r="C107" s="56" t="s">
        <v>29</v>
      </c>
      <c r="D107" s="60">
        <v>2765063.77</v>
      </c>
      <c r="E107" s="63" t="s">
        <v>19</v>
      </c>
      <c r="F107" s="66" t="s">
        <v>9</v>
      </c>
      <c r="G107" s="58" t="s">
        <v>56</v>
      </c>
      <c r="H107" s="59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/>
      <c r="CQ107" s="7"/>
      <c r="CR107" s="7"/>
      <c r="CS107" s="7"/>
      <c r="CT107" s="7"/>
      <c r="CU107" s="7"/>
      <c r="CV107" s="7"/>
      <c r="CW107" s="7"/>
      <c r="CX107" s="7"/>
      <c r="CY107" s="7"/>
      <c r="CZ107" s="7"/>
      <c r="DA107" s="7"/>
      <c r="DB107" s="7"/>
      <c r="DC107" s="7"/>
      <c r="DD107" s="7"/>
      <c r="DE107" s="7"/>
      <c r="DF107" s="7"/>
      <c r="DG107" s="7"/>
      <c r="DH107" s="7"/>
      <c r="DI107" s="7"/>
      <c r="DJ107" s="7"/>
      <c r="DK107" s="7"/>
      <c r="DL107" s="7"/>
      <c r="DM107" s="7"/>
      <c r="DN107" s="7"/>
      <c r="DO107" s="7"/>
      <c r="DP107" s="7"/>
      <c r="DQ107" s="7"/>
      <c r="DR107" s="7"/>
      <c r="DS107" s="7"/>
      <c r="DT107" s="7"/>
      <c r="DU107" s="7"/>
      <c r="DV107" s="7"/>
      <c r="DW107" s="7"/>
      <c r="DX107" s="7"/>
      <c r="DY107" s="7"/>
      <c r="DZ107" s="7"/>
      <c r="EA107" s="7"/>
      <c r="EB107" s="7"/>
      <c r="EC107" s="7"/>
      <c r="ED107" s="7"/>
      <c r="EE107" s="7"/>
      <c r="EF107" s="7"/>
      <c r="EG107" s="7"/>
      <c r="EH107" s="7"/>
      <c r="EI107" s="7"/>
      <c r="EJ107" s="7"/>
      <c r="EK107" s="7"/>
      <c r="EL107" s="7"/>
      <c r="EM107" s="7"/>
      <c r="EN107" s="7"/>
      <c r="EO107" s="7"/>
      <c r="EP107" s="7"/>
      <c r="EQ107" s="7"/>
      <c r="ER107" s="7"/>
      <c r="ES107" s="7"/>
      <c r="ET107" s="7"/>
      <c r="EU107" s="7"/>
      <c r="EV107" s="7"/>
      <c r="EW107" s="7"/>
      <c r="EX107" s="7"/>
      <c r="EY107" s="7"/>
      <c r="EZ107" s="7"/>
      <c r="FA107" s="7"/>
      <c r="FB107" s="7"/>
      <c r="FC107" s="7"/>
      <c r="FD107" s="7"/>
      <c r="FE107" s="7"/>
      <c r="FF107" s="7"/>
      <c r="FG107" s="7"/>
      <c r="FH107" s="7"/>
      <c r="FI107" s="7"/>
      <c r="FJ107" s="7"/>
      <c r="FK107" s="7"/>
      <c r="FL107" s="7"/>
      <c r="FM107" s="7"/>
      <c r="FN107" s="7"/>
      <c r="FO107" s="7"/>
      <c r="FP107" s="7"/>
      <c r="FQ107" s="7"/>
      <c r="FR107" s="7"/>
      <c r="FS107" s="7"/>
      <c r="FT107" s="7"/>
      <c r="FU107" s="7"/>
      <c r="FV107" s="7"/>
      <c r="FW107" s="7"/>
      <c r="FX107" s="7"/>
      <c r="FY107" s="7"/>
      <c r="FZ107" s="7"/>
      <c r="GA107" s="7"/>
      <c r="GB107" s="7"/>
      <c r="GC107" s="7"/>
      <c r="GD107" s="7"/>
      <c r="GE107" s="7"/>
      <c r="GF107" s="7"/>
      <c r="GG107" s="7"/>
      <c r="GH107" s="7"/>
      <c r="GI107" s="7"/>
      <c r="GJ107" s="7"/>
      <c r="GK107" s="7"/>
      <c r="GL107" s="7"/>
      <c r="GM107" s="7"/>
      <c r="GN107" s="7"/>
      <c r="GO107" s="7"/>
      <c r="GP107" s="7"/>
      <c r="GQ107" s="7"/>
      <c r="GR107" s="7"/>
      <c r="GS107" s="7"/>
      <c r="GT107" s="7"/>
      <c r="GU107" s="7"/>
      <c r="GV107" s="7"/>
      <c r="GW107" s="7"/>
      <c r="GX107" s="7"/>
      <c r="GY107" s="7"/>
      <c r="GZ107" s="7"/>
      <c r="HA107" s="7"/>
      <c r="HB107" s="7"/>
      <c r="HC107" s="7"/>
      <c r="HD107" s="7"/>
      <c r="HE107" s="7"/>
      <c r="HF107" s="7"/>
      <c r="HG107" s="7"/>
      <c r="HH107" s="7"/>
      <c r="HI107" s="7"/>
      <c r="HJ107" s="7"/>
      <c r="HK107" s="7"/>
      <c r="HL107" s="7"/>
      <c r="HM107" s="7"/>
      <c r="HN107" s="7"/>
      <c r="HO107" s="7"/>
      <c r="HP107" s="7"/>
      <c r="HQ107" s="7"/>
      <c r="HR107" s="7"/>
      <c r="HS107" s="7"/>
      <c r="HT107" s="7"/>
      <c r="HU107" s="7"/>
      <c r="HV107" s="7"/>
      <c r="HW107" s="7"/>
      <c r="HX107" s="7"/>
      <c r="HY107" s="7"/>
    </row>
    <row r="108" spans="1:233">
      <c r="A108" s="56" t="s">
        <v>148</v>
      </c>
      <c r="B108" s="56" t="s">
        <v>140</v>
      </c>
      <c r="C108" s="56" t="s">
        <v>28</v>
      </c>
      <c r="D108" s="60">
        <v>696957</v>
      </c>
      <c r="E108" s="63" t="s">
        <v>22</v>
      </c>
      <c r="F108" s="66" t="s">
        <v>14</v>
      </c>
      <c r="G108" s="58" t="s">
        <v>145</v>
      </c>
      <c r="H108" s="59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7"/>
      <c r="BW108" s="7"/>
      <c r="BX108" s="7"/>
      <c r="BY108" s="7"/>
      <c r="BZ108" s="7"/>
      <c r="CA108" s="7"/>
      <c r="CB108" s="7"/>
      <c r="CC108" s="7"/>
      <c r="CD108" s="7"/>
      <c r="CE108" s="7"/>
      <c r="CF108" s="7"/>
      <c r="CG108" s="7"/>
      <c r="CH108" s="7"/>
      <c r="CI108" s="7"/>
      <c r="CJ108" s="7"/>
      <c r="CK108" s="7"/>
      <c r="CL108" s="7"/>
      <c r="CM108" s="7"/>
      <c r="CN108" s="7"/>
      <c r="CO108" s="7"/>
      <c r="CP108" s="7"/>
      <c r="CQ108" s="7"/>
      <c r="CR108" s="7"/>
      <c r="CS108" s="7"/>
      <c r="CT108" s="7"/>
      <c r="CU108" s="7"/>
      <c r="CV108" s="7"/>
      <c r="CW108" s="7"/>
      <c r="CX108" s="7"/>
      <c r="CY108" s="7"/>
      <c r="CZ108" s="7"/>
      <c r="DA108" s="7"/>
      <c r="DB108" s="7"/>
      <c r="DC108" s="7"/>
      <c r="DD108" s="7"/>
      <c r="DE108" s="7"/>
      <c r="DF108" s="7"/>
      <c r="DG108" s="7"/>
      <c r="DH108" s="7"/>
      <c r="DI108" s="7"/>
      <c r="DJ108" s="7"/>
      <c r="DK108" s="7"/>
      <c r="DL108" s="7"/>
      <c r="DM108" s="7"/>
      <c r="DN108" s="7"/>
      <c r="DO108" s="7"/>
      <c r="DP108" s="7"/>
      <c r="DQ108" s="7"/>
      <c r="DR108" s="7"/>
      <c r="DS108" s="7"/>
      <c r="DT108" s="7"/>
      <c r="DU108" s="7"/>
      <c r="DV108" s="7"/>
      <c r="DW108" s="7"/>
      <c r="DX108" s="7"/>
      <c r="DY108" s="7"/>
      <c r="DZ108" s="7"/>
      <c r="EA108" s="7"/>
      <c r="EB108" s="7"/>
      <c r="EC108" s="7"/>
      <c r="ED108" s="7"/>
      <c r="EE108" s="7"/>
      <c r="EF108" s="7"/>
      <c r="EG108" s="7"/>
      <c r="EH108" s="7"/>
      <c r="EI108" s="7"/>
      <c r="EJ108" s="7"/>
      <c r="EK108" s="7"/>
      <c r="EL108" s="7"/>
      <c r="EM108" s="7"/>
      <c r="EN108" s="7"/>
      <c r="EO108" s="7"/>
      <c r="EP108" s="7"/>
      <c r="EQ108" s="7"/>
      <c r="ER108" s="7"/>
      <c r="ES108" s="7"/>
      <c r="ET108" s="7"/>
      <c r="EU108" s="7"/>
      <c r="EV108" s="7"/>
      <c r="EW108" s="7"/>
      <c r="EX108" s="7"/>
      <c r="EY108" s="7"/>
      <c r="EZ108" s="7"/>
      <c r="FA108" s="7"/>
      <c r="FB108" s="7"/>
      <c r="FC108" s="7"/>
      <c r="FD108" s="7"/>
      <c r="FE108" s="7"/>
      <c r="FF108" s="7"/>
      <c r="FG108" s="7"/>
      <c r="FH108" s="7"/>
      <c r="FI108" s="7"/>
      <c r="FJ108" s="7"/>
      <c r="FK108" s="7"/>
      <c r="FL108" s="7"/>
      <c r="FM108" s="7"/>
      <c r="FN108" s="7"/>
      <c r="FO108" s="7"/>
      <c r="FP108" s="7"/>
      <c r="FQ108" s="7"/>
      <c r="FR108" s="7"/>
      <c r="FS108" s="7"/>
      <c r="FT108" s="7"/>
      <c r="FU108" s="7"/>
      <c r="FV108" s="7"/>
      <c r="FW108" s="7"/>
      <c r="FX108" s="7"/>
      <c r="FY108" s="7"/>
      <c r="FZ108" s="7"/>
      <c r="GA108" s="7"/>
      <c r="GB108" s="7"/>
      <c r="GC108" s="7"/>
      <c r="GD108" s="7"/>
      <c r="GE108" s="7"/>
      <c r="GF108" s="7"/>
      <c r="GG108" s="7"/>
      <c r="GH108" s="7"/>
      <c r="GI108" s="7"/>
      <c r="GJ108" s="7"/>
      <c r="GK108" s="7"/>
      <c r="GL108" s="7"/>
      <c r="GM108" s="7"/>
      <c r="GN108" s="7"/>
      <c r="GO108" s="7"/>
      <c r="GP108" s="7"/>
      <c r="GQ108" s="7"/>
      <c r="GR108" s="7"/>
      <c r="GS108" s="7"/>
      <c r="GT108" s="7"/>
      <c r="GU108" s="7"/>
      <c r="GV108" s="7"/>
      <c r="GW108" s="7"/>
      <c r="GX108" s="7"/>
      <c r="GY108" s="7"/>
      <c r="GZ108" s="7"/>
      <c r="HA108" s="7"/>
      <c r="HB108" s="7"/>
      <c r="HC108" s="7"/>
      <c r="HD108" s="7"/>
      <c r="HE108" s="7"/>
      <c r="HF108" s="7"/>
      <c r="HG108" s="7"/>
      <c r="HH108" s="7"/>
      <c r="HI108" s="7"/>
      <c r="HJ108" s="7"/>
      <c r="HK108" s="7"/>
      <c r="HL108" s="7"/>
      <c r="HM108" s="7"/>
      <c r="HN108" s="7"/>
      <c r="HO108" s="7"/>
      <c r="HP108" s="7"/>
      <c r="HQ108" s="7"/>
      <c r="HR108" s="7"/>
      <c r="HS108" s="7"/>
      <c r="HT108" s="7"/>
      <c r="HU108" s="7"/>
      <c r="HV108" s="7"/>
      <c r="HW108" s="7"/>
      <c r="HX108" s="7"/>
      <c r="HY108" s="7"/>
    </row>
    <row r="109" spans="1:233">
      <c r="A109" s="56" t="s">
        <v>148</v>
      </c>
      <c r="B109" s="56" t="s">
        <v>140</v>
      </c>
      <c r="C109" s="56" t="s">
        <v>29</v>
      </c>
      <c r="D109" s="60">
        <v>2278698.4900000002</v>
      </c>
      <c r="E109" s="63" t="s">
        <v>19</v>
      </c>
      <c r="F109" s="66" t="s">
        <v>14</v>
      </c>
      <c r="G109" s="58" t="s">
        <v>101</v>
      </c>
      <c r="H109" s="59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7"/>
      <c r="BY109" s="7"/>
      <c r="BZ109" s="7"/>
      <c r="CA109" s="7"/>
      <c r="CB109" s="7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  <c r="CO109" s="7"/>
      <c r="CP109" s="7"/>
      <c r="CQ109" s="7"/>
      <c r="CR109" s="7"/>
      <c r="CS109" s="7"/>
      <c r="CT109" s="7"/>
      <c r="CU109" s="7"/>
      <c r="CV109" s="7"/>
      <c r="CW109" s="7"/>
      <c r="CX109" s="7"/>
      <c r="CY109" s="7"/>
      <c r="CZ109" s="7"/>
      <c r="DA109" s="7"/>
      <c r="DB109" s="7"/>
      <c r="DC109" s="7"/>
      <c r="DD109" s="7"/>
      <c r="DE109" s="7"/>
      <c r="DF109" s="7"/>
      <c r="DG109" s="7"/>
      <c r="DH109" s="7"/>
      <c r="DI109" s="7"/>
      <c r="DJ109" s="7"/>
      <c r="DK109" s="7"/>
      <c r="DL109" s="7"/>
      <c r="DM109" s="7"/>
      <c r="DN109" s="7"/>
      <c r="DO109" s="7"/>
      <c r="DP109" s="7"/>
      <c r="DQ109" s="7"/>
      <c r="DR109" s="7"/>
      <c r="DS109" s="7"/>
      <c r="DT109" s="7"/>
      <c r="DU109" s="7"/>
      <c r="DV109" s="7"/>
      <c r="DW109" s="7"/>
      <c r="DX109" s="7"/>
      <c r="DY109" s="7"/>
      <c r="DZ109" s="7"/>
      <c r="EA109" s="7"/>
      <c r="EB109" s="7"/>
      <c r="EC109" s="7"/>
      <c r="ED109" s="7"/>
      <c r="EE109" s="7"/>
      <c r="EF109" s="7"/>
      <c r="EG109" s="7"/>
      <c r="EH109" s="7"/>
      <c r="EI109" s="7"/>
      <c r="EJ109" s="7"/>
      <c r="EK109" s="7"/>
      <c r="EL109" s="7"/>
      <c r="EM109" s="7"/>
      <c r="EN109" s="7"/>
      <c r="EO109" s="7"/>
      <c r="EP109" s="7"/>
      <c r="EQ109" s="7"/>
      <c r="ER109" s="7"/>
      <c r="ES109" s="7"/>
      <c r="ET109" s="7"/>
      <c r="EU109" s="7"/>
      <c r="EV109" s="7"/>
      <c r="EW109" s="7"/>
      <c r="EX109" s="7"/>
      <c r="EY109" s="7"/>
      <c r="EZ109" s="7"/>
      <c r="FA109" s="7"/>
      <c r="FB109" s="7"/>
      <c r="FC109" s="7"/>
      <c r="FD109" s="7"/>
      <c r="FE109" s="7"/>
      <c r="FF109" s="7"/>
      <c r="FG109" s="7"/>
      <c r="FH109" s="7"/>
      <c r="FI109" s="7"/>
      <c r="FJ109" s="7"/>
      <c r="FK109" s="7"/>
      <c r="FL109" s="7"/>
      <c r="FM109" s="7"/>
      <c r="FN109" s="7"/>
      <c r="FO109" s="7"/>
      <c r="FP109" s="7"/>
      <c r="FQ109" s="7"/>
      <c r="FR109" s="7"/>
      <c r="FS109" s="7"/>
      <c r="FT109" s="7"/>
      <c r="FU109" s="7"/>
      <c r="FV109" s="7"/>
      <c r="FW109" s="7"/>
      <c r="FX109" s="7"/>
      <c r="FY109" s="7"/>
      <c r="FZ109" s="7"/>
      <c r="GA109" s="7"/>
      <c r="GB109" s="7"/>
      <c r="GC109" s="7"/>
      <c r="GD109" s="7"/>
      <c r="GE109" s="7"/>
      <c r="GF109" s="7"/>
      <c r="GG109" s="7"/>
      <c r="GH109" s="7"/>
      <c r="GI109" s="7"/>
      <c r="GJ109" s="7"/>
      <c r="GK109" s="7"/>
      <c r="GL109" s="7"/>
      <c r="GM109" s="7"/>
      <c r="GN109" s="7"/>
      <c r="GO109" s="7"/>
      <c r="GP109" s="7"/>
      <c r="GQ109" s="7"/>
      <c r="GR109" s="7"/>
      <c r="GS109" s="7"/>
      <c r="GT109" s="7"/>
      <c r="GU109" s="7"/>
      <c r="GV109" s="7"/>
      <c r="GW109" s="7"/>
      <c r="GX109" s="7"/>
      <c r="GY109" s="7"/>
      <c r="GZ109" s="7"/>
      <c r="HA109" s="7"/>
      <c r="HB109" s="7"/>
      <c r="HC109" s="7"/>
      <c r="HD109" s="7"/>
      <c r="HE109" s="7"/>
      <c r="HF109" s="7"/>
      <c r="HG109" s="7"/>
      <c r="HH109" s="7"/>
      <c r="HI109" s="7"/>
      <c r="HJ109" s="7"/>
      <c r="HK109" s="7"/>
      <c r="HL109" s="7"/>
      <c r="HM109" s="7"/>
      <c r="HN109" s="7"/>
      <c r="HO109" s="7"/>
      <c r="HP109" s="7"/>
      <c r="HQ109" s="7"/>
      <c r="HR109" s="7"/>
      <c r="HS109" s="7"/>
      <c r="HT109" s="7"/>
      <c r="HU109" s="7"/>
      <c r="HV109" s="7"/>
      <c r="HW109" s="7"/>
      <c r="HX109" s="7"/>
      <c r="HY109" s="7"/>
    </row>
    <row r="110" spans="1:233">
      <c r="A110" s="56" t="s">
        <v>149</v>
      </c>
      <c r="B110" s="56" t="s">
        <v>150</v>
      </c>
      <c r="C110" s="56" t="s">
        <v>30</v>
      </c>
      <c r="D110" s="60">
        <v>139196.6</v>
      </c>
      <c r="E110" s="63" t="s">
        <v>18</v>
      </c>
      <c r="F110" s="66" t="s">
        <v>84</v>
      </c>
      <c r="G110" s="58" t="s">
        <v>157</v>
      </c>
      <c r="H110" s="59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7"/>
      <c r="BV110" s="7"/>
      <c r="BW110" s="7"/>
      <c r="BX110" s="7"/>
      <c r="BY110" s="7"/>
      <c r="BZ110" s="7"/>
      <c r="CA110" s="7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  <c r="CQ110" s="7"/>
      <c r="CR110" s="7"/>
      <c r="CS110" s="7"/>
      <c r="CT110" s="7"/>
      <c r="CU110" s="7"/>
      <c r="CV110" s="7"/>
      <c r="CW110" s="7"/>
      <c r="CX110" s="7"/>
      <c r="CY110" s="7"/>
      <c r="CZ110" s="7"/>
      <c r="DA110" s="7"/>
      <c r="DB110" s="7"/>
      <c r="DC110" s="7"/>
      <c r="DD110" s="7"/>
      <c r="DE110" s="7"/>
      <c r="DF110" s="7"/>
      <c r="DG110" s="7"/>
      <c r="DH110" s="7"/>
      <c r="DI110" s="7"/>
      <c r="DJ110" s="7"/>
      <c r="DK110" s="7"/>
      <c r="DL110" s="7"/>
      <c r="DM110" s="7"/>
      <c r="DN110" s="7"/>
      <c r="DO110" s="7"/>
      <c r="DP110" s="7"/>
      <c r="DQ110" s="7"/>
      <c r="DR110" s="7"/>
      <c r="DS110" s="7"/>
      <c r="DT110" s="7"/>
      <c r="DU110" s="7"/>
      <c r="DV110" s="7"/>
      <c r="DW110" s="7"/>
      <c r="DX110" s="7"/>
      <c r="DY110" s="7"/>
      <c r="DZ110" s="7"/>
      <c r="EA110" s="7"/>
      <c r="EB110" s="7"/>
      <c r="EC110" s="7"/>
      <c r="ED110" s="7"/>
      <c r="EE110" s="7"/>
      <c r="EF110" s="7"/>
      <c r="EG110" s="7"/>
      <c r="EH110" s="7"/>
      <c r="EI110" s="7"/>
      <c r="EJ110" s="7"/>
      <c r="EK110" s="7"/>
      <c r="EL110" s="7"/>
      <c r="EM110" s="7"/>
      <c r="EN110" s="7"/>
      <c r="EO110" s="7"/>
      <c r="EP110" s="7"/>
      <c r="EQ110" s="7"/>
      <c r="ER110" s="7"/>
      <c r="ES110" s="7"/>
      <c r="ET110" s="7"/>
      <c r="EU110" s="7"/>
      <c r="EV110" s="7"/>
      <c r="EW110" s="7"/>
      <c r="EX110" s="7"/>
      <c r="EY110" s="7"/>
      <c r="EZ110" s="7"/>
      <c r="FA110" s="7"/>
      <c r="FB110" s="7"/>
      <c r="FC110" s="7"/>
      <c r="FD110" s="7"/>
      <c r="FE110" s="7"/>
      <c r="FF110" s="7"/>
      <c r="FG110" s="7"/>
      <c r="FH110" s="7"/>
      <c r="FI110" s="7"/>
      <c r="FJ110" s="7"/>
      <c r="FK110" s="7"/>
      <c r="FL110" s="7"/>
      <c r="FM110" s="7"/>
      <c r="FN110" s="7"/>
      <c r="FO110" s="7"/>
      <c r="FP110" s="7"/>
      <c r="FQ110" s="7"/>
      <c r="FR110" s="7"/>
      <c r="FS110" s="7"/>
      <c r="FT110" s="7"/>
      <c r="FU110" s="7"/>
      <c r="FV110" s="7"/>
      <c r="FW110" s="7"/>
      <c r="FX110" s="7"/>
      <c r="FY110" s="7"/>
      <c r="FZ110" s="7"/>
      <c r="GA110" s="7"/>
      <c r="GB110" s="7"/>
      <c r="GC110" s="7"/>
      <c r="GD110" s="7"/>
      <c r="GE110" s="7"/>
      <c r="GF110" s="7"/>
      <c r="GG110" s="7"/>
      <c r="GH110" s="7"/>
      <c r="GI110" s="7"/>
      <c r="GJ110" s="7"/>
      <c r="GK110" s="7"/>
      <c r="GL110" s="7"/>
      <c r="GM110" s="7"/>
      <c r="GN110" s="7"/>
      <c r="GO110" s="7"/>
      <c r="GP110" s="7"/>
      <c r="GQ110" s="7"/>
      <c r="GR110" s="7"/>
      <c r="GS110" s="7"/>
      <c r="GT110" s="7"/>
      <c r="GU110" s="7"/>
      <c r="GV110" s="7"/>
      <c r="GW110" s="7"/>
      <c r="GX110" s="7"/>
      <c r="GY110" s="7"/>
      <c r="GZ110" s="7"/>
      <c r="HA110" s="7"/>
      <c r="HB110" s="7"/>
      <c r="HC110" s="7"/>
      <c r="HD110" s="7"/>
      <c r="HE110" s="7"/>
      <c r="HF110" s="7"/>
      <c r="HG110" s="7"/>
      <c r="HH110" s="7"/>
      <c r="HI110" s="7"/>
      <c r="HJ110" s="7"/>
      <c r="HK110" s="7"/>
      <c r="HL110" s="7"/>
      <c r="HM110" s="7"/>
      <c r="HN110" s="7"/>
      <c r="HO110" s="7"/>
      <c r="HP110" s="7"/>
      <c r="HQ110" s="7"/>
      <c r="HR110" s="7"/>
      <c r="HS110" s="7"/>
      <c r="HT110" s="7"/>
      <c r="HU110" s="7"/>
      <c r="HV110" s="7"/>
      <c r="HW110" s="7"/>
      <c r="HX110" s="7"/>
      <c r="HY110" s="7"/>
    </row>
    <row r="111" spans="1:233">
      <c r="A111" s="56" t="s">
        <v>151</v>
      </c>
      <c r="B111" s="56" t="s">
        <v>152</v>
      </c>
      <c r="C111" s="56" t="s">
        <v>28</v>
      </c>
      <c r="D111" s="60">
        <v>1250966</v>
      </c>
      <c r="E111" s="63" t="s">
        <v>22</v>
      </c>
      <c r="F111" s="66" t="s">
        <v>84</v>
      </c>
      <c r="G111" s="58" t="s">
        <v>85</v>
      </c>
      <c r="H111" s="59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7"/>
      <c r="BW111" s="7"/>
      <c r="BX111" s="7"/>
      <c r="BY111" s="7"/>
      <c r="BZ111" s="7"/>
      <c r="CA111" s="7"/>
      <c r="CB111" s="7"/>
      <c r="CC111" s="7"/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  <c r="CO111" s="7"/>
      <c r="CP111" s="7"/>
      <c r="CQ111" s="7"/>
      <c r="CR111" s="7"/>
      <c r="CS111" s="7"/>
      <c r="CT111" s="7"/>
      <c r="CU111" s="7"/>
      <c r="CV111" s="7"/>
      <c r="CW111" s="7"/>
      <c r="CX111" s="7"/>
      <c r="CY111" s="7"/>
      <c r="CZ111" s="7"/>
      <c r="DA111" s="7"/>
      <c r="DB111" s="7"/>
      <c r="DC111" s="7"/>
      <c r="DD111" s="7"/>
      <c r="DE111" s="7"/>
      <c r="DF111" s="7"/>
      <c r="DG111" s="7"/>
      <c r="DH111" s="7"/>
      <c r="DI111" s="7"/>
      <c r="DJ111" s="7"/>
      <c r="DK111" s="7"/>
      <c r="DL111" s="7"/>
      <c r="DM111" s="7"/>
      <c r="DN111" s="7"/>
      <c r="DO111" s="7"/>
      <c r="DP111" s="7"/>
      <c r="DQ111" s="7"/>
      <c r="DR111" s="7"/>
      <c r="DS111" s="7"/>
      <c r="DT111" s="7"/>
      <c r="DU111" s="7"/>
      <c r="DV111" s="7"/>
      <c r="DW111" s="7"/>
      <c r="DX111" s="7"/>
      <c r="DY111" s="7"/>
      <c r="DZ111" s="7"/>
      <c r="EA111" s="7"/>
      <c r="EB111" s="7"/>
      <c r="EC111" s="7"/>
      <c r="ED111" s="7"/>
      <c r="EE111" s="7"/>
      <c r="EF111" s="7"/>
      <c r="EG111" s="7"/>
      <c r="EH111" s="7"/>
      <c r="EI111" s="7"/>
      <c r="EJ111" s="7"/>
      <c r="EK111" s="7"/>
      <c r="EL111" s="7"/>
      <c r="EM111" s="7"/>
      <c r="EN111" s="7"/>
      <c r="EO111" s="7"/>
      <c r="EP111" s="7"/>
      <c r="EQ111" s="7"/>
      <c r="ER111" s="7"/>
      <c r="ES111" s="7"/>
      <c r="ET111" s="7"/>
      <c r="EU111" s="7"/>
      <c r="EV111" s="7"/>
      <c r="EW111" s="7"/>
      <c r="EX111" s="7"/>
      <c r="EY111" s="7"/>
      <c r="EZ111" s="7"/>
      <c r="FA111" s="7"/>
      <c r="FB111" s="7"/>
      <c r="FC111" s="7"/>
      <c r="FD111" s="7"/>
      <c r="FE111" s="7"/>
      <c r="FF111" s="7"/>
      <c r="FG111" s="7"/>
      <c r="FH111" s="7"/>
      <c r="FI111" s="7"/>
      <c r="FJ111" s="7"/>
      <c r="FK111" s="7"/>
      <c r="FL111" s="7"/>
      <c r="FM111" s="7"/>
      <c r="FN111" s="7"/>
      <c r="FO111" s="7"/>
      <c r="FP111" s="7"/>
      <c r="FQ111" s="7"/>
      <c r="FR111" s="7"/>
      <c r="FS111" s="7"/>
      <c r="FT111" s="7"/>
      <c r="FU111" s="7"/>
      <c r="FV111" s="7"/>
      <c r="FW111" s="7"/>
      <c r="FX111" s="7"/>
      <c r="FY111" s="7"/>
      <c r="FZ111" s="7"/>
      <c r="GA111" s="7"/>
      <c r="GB111" s="7"/>
      <c r="GC111" s="7"/>
      <c r="GD111" s="7"/>
      <c r="GE111" s="7"/>
      <c r="GF111" s="7"/>
      <c r="GG111" s="7"/>
      <c r="GH111" s="7"/>
      <c r="GI111" s="7"/>
      <c r="GJ111" s="7"/>
      <c r="GK111" s="7"/>
      <c r="GL111" s="7"/>
      <c r="GM111" s="7"/>
      <c r="GN111" s="7"/>
      <c r="GO111" s="7"/>
      <c r="GP111" s="7"/>
      <c r="GQ111" s="7"/>
      <c r="GR111" s="7"/>
      <c r="GS111" s="7"/>
      <c r="GT111" s="7"/>
      <c r="GU111" s="7"/>
      <c r="GV111" s="7"/>
      <c r="GW111" s="7"/>
      <c r="GX111" s="7"/>
      <c r="GY111" s="7"/>
      <c r="GZ111" s="7"/>
      <c r="HA111" s="7"/>
      <c r="HB111" s="7"/>
      <c r="HC111" s="7"/>
      <c r="HD111" s="7"/>
      <c r="HE111" s="7"/>
      <c r="HF111" s="7"/>
      <c r="HG111" s="7"/>
      <c r="HH111" s="7"/>
      <c r="HI111" s="7"/>
      <c r="HJ111" s="7"/>
      <c r="HK111" s="7"/>
      <c r="HL111" s="7"/>
      <c r="HM111" s="7"/>
      <c r="HN111" s="7"/>
      <c r="HO111" s="7"/>
      <c r="HP111" s="7"/>
      <c r="HQ111" s="7"/>
      <c r="HR111" s="7"/>
      <c r="HS111" s="7"/>
      <c r="HT111" s="7"/>
      <c r="HU111" s="7"/>
      <c r="HV111" s="7"/>
      <c r="HW111" s="7"/>
      <c r="HX111" s="7"/>
      <c r="HY111" s="7"/>
    </row>
    <row r="112" spans="1:233">
      <c r="A112" s="56" t="s">
        <v>151</v>
      </c>
      <c r="B112" s="56" t="s">
        <v>152</v>
      </c>
      <c r="C112" s="56" t="s">
        <v>29</v>
      </c>
      <c r="D112" s="60">
        <v>5311356.2699999996</v>
      </c>
      <c r="E112" s="63" t="s">
        <v>19</v>
      </c>
      <c r="F112" s="66" t="s">
        <v>84</v>
      </c>
      <c r="G112" s="58" t="s">
        <v>86</v>
      </c>
      <c r="H112" s="59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7"/>
      <c r="BV112" s="7"/>
      <c r="BW112" s="7"/>
      <c r="BX112" s="7"/>
      <c r="BY112" s="7"/>
      <c r="BZ112" s="7"/>
      <c r="CA112" s="7"/>
      <c r="CB112" s="7"/>
      <c r="CC112" s="7"/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  <c r="CO112" s="7"/>
      <c r="CP112" s="7"/>
      <c r="CQ112" s="7"/>
      <c r="CR112" s="7"/>
      <c r="CS112" s="7"/>
      <c r="CT112" s="7"/>
      <c r="CU112" s="7"/>
      <c r="CV112" s="7"/>
      <c r="CW112" s="7"/>
      <c r="CX112" s="7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7"/>
      <c r="DJ112" s="7"/>
      <c r="DK112" s="7"/>
      <c r="DL112" s="7"/>
      <c r="DM112" s="7"/>
      <c r="DN112" s="7"/>
      <c r="DO112" s="7"/>
      <c r="DP112" s="7"/>
      <c r="DQ112" s="7"/>
      <c r="DR112" s="7"/>
      <c r="DS112" s="7"/>
      <c r="DT112" s="7"/>
      <c r="DU112" s="7"/>
      <c r="DV112" s="7"/>
      <c r="DW112" s="7"/>
      <c r="DX112" s="7"/>
      <c r="DY112" s="7"/>
      <c r="DZ112" s="7"/>
      <c r="EA112" s="7"/>
      <c r="EB112" s="7"/>
      <c r="EC112" s="7"/>
      <c r="ED112" s="7"/>
      <c r="EE112" s="7"/>
      <c r="EF112" s="7"/>
      <c r="EG112" s="7"/>
      <c r="EH112" s="7"/>
      <c r="EI112" s="7"/>
      <c r="EJ112" s="7"/>
      <c r="EK112" s="7"/>
      <c r="EL112" s="7"/>
      <c r="EM112" s="7"/>
      <c r="EN112" s="7"/>
      <c r="EO112" s="7"/>
      <c r="EP112" s="7"/>
      <c r="EQ112" s="7"/>
      <c r="ER112" s="7"/>
      <c r="ES112" s="7"/>
      <c r="ET112" s="7"/>
      <c r="EU112" s="7"/>
      <c r="EV112" s="7"/>
      <c r="EW112" s="7"/>
      <c r="EX112" s="7"/>
      <c r="EY112" s="7"/>
      <c r="EZ112" s="7"/>
      <c r="FA112" s="7"/>
      <c r="FB112" s="7"/>
      <c r="FC112" s="7"/>
      <c r="FD112" s="7"/>
      <c r="FE112" s="7"/>
      <c r="FF112" s="7"/>
      <c r="FG112" s="7"/>
      <c r="FH112" s="7"/>
      <c r="FI112" s="7"/>
      <c r="FJ112" s="7"/>
      <c r="FK112" s="7"/>
      <c r="FL112" s="7"/>
      <c r="FM112" s="7"/>
      <c r="FN112" s="7"/>
      <c r="FO112" s="7"/>
      <c r="FP112" s="7"/>
      <c r="FQ112" s="7"/>
      <c r="FR112" s="7"/>
      <c r="FS112" s="7"/>
      <c r="FT112" s="7"/>
      <c r="FU112" s="7"/>
      <c r="FV112" s="7"/>
      <c r="FW112" s="7"/>
      <c r="FX112" s="7"/>
      <c r="FY112" s="7"/>
      <c r="FZ112" s="7"/>
      <c r="GA112" s="7"/>
      <c r="GB112" s="7"/>
      <c r="GC112" s="7"/>
      <c r="GD112" s="7"/>
      <c r="GE112" s="7"/>
      <c r="GF112" s="7"/>
      <c r="GG112" s="7"/>
      <c r="GH112" s="7"/>
      <c r="GI112" s="7"/>
      <c r="GJ112" s="7"/>
      <c r="GK112" s="7"/>
      <c r="GL112" s="7"/>
      <c r="GM112" s="7"/>
      <c r="GN112" s="7"/>
      <c r="GO112" s="7"/>
      <c r="GP112" s="7"/>
      <c r="GQ112" s="7"/>
      <c r="GR112" s="7"/>
      <c r="GS112" s="7"/>
      <c r="GT112" s="7"/>
      <c r="GU112" s="7"/>
      <c r="GV112" s="7"/>
      <c r="GW112" s="7"/>
      <c r="GX112" s="7"/>
      <c r="GY112" s="7"/>
      <c r="GZ112" s="7"/>
      <c r="HA112" s="7"/>
      <c r="HB112" s="7"/>
      <c r="HC112" s="7"/>
      <c r="HD112" s="7"/>
      <c r="HE112" s="7"/>
      <c r="HF112" s="7"/>
      <c r="HG112" s="7"/>
      <c r="HH112" s="7"/>
      <c r="HI112" s="7"/>
      <c r="HJ112" s="7"/>
      <c r="HK112" s="7"/>
      <c r="HL112" s="7"/>
      <c r="HM112" s="7"/>
      <c r="HN112" s="7"/>
      <c r="HO112" s="7"/>
      <c r="HP112" s="7"/>
      <c r="HQ112" s="7"/>
      <c r="HR112" s="7"/>
      <c r="HS112" s="7"/>
      <c r="HT112" s="7"/>
      <c r="HU112" s="7"/>
      <c r="HV112" s="7"/>
      <c r="HW112" s="7"/>
      <c r="HX112" s="7"/>
      <c r="HY112" s="7"/>
    </row>
    <row r="113" spans="1:233">
      <c r="A113" s="56" t="s">
        <v>153</v>
      </c>
      <c r="B113" s="56" t="s">
        <v>154</v>
      </c>
      <c r="C113" s="56" t="s">
        <v>30</v>
      </c>
      <c r="D113" s="60">
        <v>63267.81</v>
      </c>
      <c r="E113" s="63" t="s">
        <v>18</v>
      </c>
      <c r="F113" s="66" t="s">
        <v>84</v>
      </c>
      <c r="G113" s="58" t="s">
        <v>157</v>
      </c>
      <c r="H113" s="59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7"/>
      <c r="CD113" s="7"/>
      <c r="CE113" s="7"/>
      <c r="CF113" s="7"/>
      <c r="CG113" s="7"/>
      <c r="CH113" s="7"/>
      <c r="CI113" s="7"/>
      <c r="CJ113" s="7"/>
      <c r="CK113" s="7"/>
      <c r="CL113" s="7"/>
      <c r="CM113" s="7"/>
      <c r="CN113" s="7"/>
      <c r="CO113" s="7"/>
      <c r="CP113" s="7"/>
      <c r="CQ113" s="7"/>
      <c r="CR113" s="7"/>
      <c r="CS113" s="7"/>
      <c r="CT113" s="7"/>
      <c r="CU113" s="7"/>
      <c r="CV113" s="7"/>
      <c r="CW113" s="7"/>
      <c r="CX113" s="7"/>
      <c r="CY113" s="7"/>
      <c r="CZ113" s="7"/>
      <c r="DA113" s="7"/>
      <c r="DB113" s="7"/>
      <c r="DC113" s="7"/>
      <c r="DD113" s="7"/>
      <c r="DE113" s="7"/>
      <c r="DF113" s="7"/>
      <c r="DG113" s="7"/>
      <c r="DH113" s="7"/>
      <c r="DI113" s="7"/>
      <c r="DJ113" s="7"/>
      <c r="DK113" s="7"/>
      <c r="DL113" s="7"/>
      <c r="DM113" s="7"/>
      <c r="DN113" s="7"/>
      <c r="DO113" s="7"/>
      <c r="DP113" s="7"/>
      <c r="DQ113" s="7"/>
      <c r="DR113" s="7"/>
      <c r="DS113" s="7"/>
      <c r="DT113" s="7"/>
      <c r="DU113" s="7"/>
      <c r="DV113" s="7"/>
      <c r="DW113" s="7"/>
      <c r="DX113" s="7"/>
      <c r="DY113" s="7"/>
      <c r="DZ113" s="7"/>
      <c r="EA113" s="7"/>
      <c r="EB113" s="7"/>
      <c r="EC113" s="7"/>
      <c r="ED113" s="7"/>
      <c r="EE113" s="7"/>
      <c r="EF113" s="7"/>
      <c r="EG113" s="7"/>
      <c r="EH113" s="7"/>
      <c r="EI113" s="7"/>
      <c r="EJ113" s="7"/>
      <c r="EK113" s="7"/>
      <c r="EL113" s="7"/>
      <c r="EM113" s="7"/>
      <c r="EN113" s="7"/>
      <c r="EO113" s="7"/>
      <c r="EP113" s="7"/>
      <c r="EQ113" s="7"/>
      <c r="ER113" s="7"/>
      <c r="ES113" s="7"/>
      <c r="ET113" s="7"/>
      <c r="EU113" s="7"/>
      <c r="EV113" s="7"/>
      <c r="EW113" s="7"/>
      <c r="EX113" s="7"/>
      <c r="EY113" s="7"/>
      <c r="EZ113" s="7"/>
      <c r="FA113" s="7"/>
      <c r="FB113" s="7"/>
      <c r="FC113" s="7"/>
      <c r="FD113" s="7"/>
      <c r="FE113" s="7"/>
      <c r="FF113" s="7"/>
      <c r="FG113" s="7"/>
      <c r="FH113" s="7"/>
      <c r="FI113" s="7"/>
      <c r="FJ113" s="7"/>
      <c r="FK113" s="7"/>
      <c r="FL113" s="7"/>
      <c r="FM113" s="7"/>
      <c r="FN113" s="7"/>
      <c r="FO113" s="7"/>
      <c r="FP113" s="7"/>
      <c r="FQ113" s="7"/>
      <c r="FR113" s="7"/>
      <c r="FS113" s="7"/>
      <c r="FT113" s="7"/>
      <c r="FU113" s="7"/>
      <c r="FV113" s="7"/>
      <c r="FW113" s="7"/>
      <c r="FX113" s="7"/>
      <c r="FY113" s="7"/>
      <c r="FZ113" s="7"/>
      <c r="GA113" s="7"/>
      <c r="GB113" s="7"/>
      <c r="GC113" s="7"/>
      <c r="GD113" s="7"/>
      <c r="GE113" s="7"/>
      <c r="GF113" s="7"/>
      <c r="GG113" s="7"/>
      <c r="GH113" s="7"/>
      <c r="GI113" s="7"/>
      <c r="GJ113" s="7"/>
      <c r="GK113" s="7"/>
      <c r="GL113" s="7"/>
      <c r="GM113" s="7"/>
      <c r="GN113" s="7"/>
      <c r="GO113" s="7"/>
      <c r="GP113" s="7"/>
      <c r="GQ113" s="7"/>
      <c r="GR113" s="7"/>
      <c r="GS113" s="7"/>
      <c r="GT113" s="7"/>
      <c r="GU113" s="7"/>
      <c r="GV113" s="7"/>
      <c r="GW113" s="7"/>
      <c r="GX113" s="7"/>
      <c r="GY113" s="7"/>
      <c r="GZ113" s="7"/>
      <c r="HA113" s="7"/>
      <c r="HB113" s="7"/>
      <c r="HC113" s="7"/>
      <c r="HD113" s="7"/>
      <c r="HE113" s="7"/>
      <c r="HF113" s="7"/>
      <c r="HG113" s="7"/>
      <c r="HH113" s="7"/>
      <c r="HI113" s="7"/>
      <c r="HJ113" s="7"/>
      <c r="HK113" s="7"/>
      <c r="HL113" s="7"/>
      <c r="HM113" s="7"/>
      <c r="HN113" s="7"/>
      <c r="HO113" s="7"/>
      <c r="HP113" s="7"/>
      <c r="HQ113" s="7"/>
      <c r="HR113" s="7"/>
      <c r="HS113" s="7"/>
      <c r="HT113" s="7"/>
      <c r="HU113" s="7"/>
      <c r="HV113" s="7"/>
      <c r="HW113" s="7"/>
      <c r="HX113" s="7"/>
      <c r="HY113" s="7"/>
    </row>
    <row r="114" spans="1:233">
      <c r="A114" s="56" t="s">
        <v>155</v>
      </c>
      <c r="B114" s="56" t="s">
        <v>156</v>
      </c>
      <c r="C114" s="56" t="s">
        <v>28</v>
      </c>
      <c r="D114" s="60">
        <v>115925</v>
      </c>
      <c r="E114" s="63" t="s">
        <v>22</v>
      </c>
      <c r="F114" s="66" t="s">
        <v>7</v>
      </c>
      <c r="G114" s="58" t="s">
        <v>158</v>
      </c>
      <c r="H114" s="59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7"/>
      <c r="CD114" s="7"/>
      <c r="CE114" s="7"/>
      <c r="CF114" s="7"/>
      <c r="CG114" s="7"/>
      <c r="CH114" s="7"/>
      <c r="CI114" s="7"/>
      <c r="CJ114" s="7"/>
      <c r="CK114" s="7"/>
      <c r="CL114" s="7"/>
      <c r="CM114" s="7"/>
      <c r="CN114" s="7"/>
      <c r="CO114" s="7"/>
      <c r="CP114" s="7"/>
      <c r="CQ114" s="7"/>
      <c r="CR114" s="7"/>
      <c r="CS114" s="7"/>
      <c r="CT114" s="7"/>
      <c r="CU114" s="7"/>
      <c r="CV114" s="7"/>
      <c r="CW114" s="7"/>
      <c r="CX114" s="7"/>
      <c r="CY114" s="7"/>
      <c r="CZ114" s="7"/>
      <c r="DA114" s="7"/>
      <c r="DB114" s="7"/>
      <c r="DC114" s="7"/>
      <c r="DD114" s="7"/>
      <c r="DE114" s="7"/>
      <c r="DF114" s="7"/>
      <c r="DG114" s="7"/>
      <c r="DH114" s="7"/>
      <c r="DI114" s="7"/>
      <c r="DJ114" s="7"/>
      <c r="DK114" s="7"/>
      <c r="DL114" s="7"/>
      <c r="DM114" s="7"/>
      <c r="DN114" s="7"/>
      <c r="DO114" s="7"/>
      <c r="DP114" s="7"/>
      <c r="DQ114" s="7"/>
      <c r="DR114" s="7"/>
      <c r="DS114" s="7"/>
      <c r="DT114" s="7"/>
      <c r="DU114" s="7"/>
      <c r="DV114" s="7"/>
      <c r="DW114" s="7"/>
      <c r="DX114" s="7"/>
      <c r="DY114" s="7"/>
      <c r="DZ114" s="7"/>
      <c r="EA114" s="7"/>
      <c r="EB114" s="7"/>
      <c r="EC114" s="7"/>
      <c r="ED114" s="7"/>
      <c r="EE114" s="7"/>
      <c r="EF114" s="7"/>
      <c r="EG114" s="7"/>
      <c r="EH114" s="7"/>
      <c r="EI114" s="7"/>
      <c r="EJ114" s="7"/>
      <c r="EK114" s="7"/>
      <c r="EL114" s="7"/>
      <c r="EM114" s="7"/>
      <c r="EN114" s="7"/>
      <c r="EO114" s="7"/>
      <c r="EP114" s="7"/>
      <c r="EQ114" s="7"/>
      <c r="ER114" s="7"/>
      <c r="ES114" s="7"/>
      <c r="ET114" s="7"/>
      <c r="EU114" s="7"/>
      <c r="EV114" s="7"/>
      <c r="EW114" s="7"/>
      <c r="EX114" s="7"/>
      <c r="EY114" s="7"/>
      <c r="EZ114" s="7"/>
      <c r="FA114" s="7"/>
      <c r="FB114" s="7"/>
      <c r="FC114" s="7"/>
      <c r="FD114" s="7"/>
      <c r="FE114" s="7"/>
      <c r="FF114" s="7"/>
      <c r="FG114" s="7"/>
      <c r="FH114" s="7"/>
      <c r="FI114" s="7"/>
      <c r="FJ114" s="7"/>
      <c r="FK114" s="7"/>
      <c r="FL114" s="7"/>
      <c r="FM114" s="7"/>
      <c r="FN114" s="7"/>
      <c r="FO114" s="7"/>
      <c r="FP114" s="7"/>
      <c r="FQ114" s="7"/>
      <c r="FR114" s="7"/>
      <c r="FS114" s="7"/>
      <c r="FT114" s="7"/>
      <c r="FU114" s="7"/>
      <c r="FV114" s="7"/>
      <c r="FW114" s="7"/>
      <c r="FX114" s="7"/>
      <c r="FY114" s="7"/>
      <c r="FZ114" s="7"/>
      <c r="GA114" s="7"/>
      <c r="GB114" s="7"/>
      <c r="GC114" s="7"/>
      <c r="GD114" s="7"/>
      <c r="GE114" s="7"/>
      <c r="GF114" s="7"/>
      <c r="GG114" s="7"/>
      <c r="GH114" s="7"/>
      <c r="GI114" s="7"/>
      <c r="GJ114" s="7"/>
      <c r="GK114" s="7"/>
      <c r="GL114" s="7"/>
      <c r="GM114" s="7"/>
      <c r="GN114" s="7"/>
      <c r="GO114" s="7"/>
      <c r="GP114" s="7"/>
      <c r="GQ114" s="7"/>
      <c r="GR114" s="7"/>
      <c r="GS114" s="7"/>
      <c r="GT114" s="7"/>
      <c r="GU114" s="7"/>
      <c r="GV114" s="7"/>
      <c r="GW114" s="7"/>
      <c r="GX114" s="7"/>
      <c r="GY114" s="7"/>
      <c r="GZ114" s="7"/>
      <c r="HA114" s="7"/>
      <c r="HB114" s="7"/>
      <c r="HC114" s="7"/>
      <c r="HD114" s="7"/>
      <c r="HE114" s="7"/>
      <c r="HF114" s="7"/>
      <c r="HG114" s="7"/>
      <c r="HH114" s="7"/>
      <c r="HI114" s="7"/>
      <c r="HJ114" s="7"/>
      <c r="HK114" s="7"/>
      <c r="HL114" s="7"/>
      <c r="HM114" s="7"/>
      <c r="HN114" s="7"/>
      <c r="HO114" s="7"/>
      <c r="HP114" s="7"/>
      <c r="HQ114" s="7"/>
      <c r="HR114" s="7"/>
      <c r="HS114" s="7"/>
      <c r="HT114" s="7"/>
      <c r="HU114" s="7"/>
      <c r="HV114" s="7"/>
      <c r="HW114" s="7"/>
      <c r="HX114" s="7"/>
      <c r="HY114" s="7"/>
    </row>
    <row r="115" spans="1:233">
      <c r="A115" s="56" t="s">
        <v>155</v>
      </c>
      <c r="B115" s="56" t="s">
        <v>156</v>
      </c>
      <c r="C115" s="56" t="s">
        <v>29</v>
      </c>
      <c r="D115" s="60">
        <v>1137861.21</v>
      </c>
      <c r="E115" s="63" t="s">
        <v>19</v>
      </c>
      <c r="F115" s="66" t="s">
        <v>7</v>
      </c>
      <c r="G115" s="58" t="s">
        <v>159</v>
      </c>
      <c r="H115" s="59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7"/>
      <c r="BW115" s="7"/>
      <c r="BX115" s="7"/>
      <c r="BY115" s="7"/>
      <c r="BZ115" s="7"/>
      <c r="CA115" s="7"/>
      <c r="CB115" s="7"/>
      <c r="CC115" s="7"/>
      <c r="CD115" s="7"/>
      <c r="CE115" s="7"/>
      <c r="CF115" s="7"/>
      <c r="CG115" s="7"/>
      <c r="CH115" s="7"/>
      <c r="CI115" s="7"/>
      <c r="CJ115" s="7"/>
      <c r="CK115" s="7"/>
      <c r="CL115" s="7"/>
      <c r="CM115" s="7"/>
      <c r="CN115" s="7"/>
      <c r="CO115" s="7"/>
      <c r="CP115" s="7"/>
      <c r="CQ115" s="7"/>
      <c r="CR115" s="7"/>
      <c r="CS115" s="7"/>
      <c r="CT115" s="7"/>
      <c r="CU115" s="7"/>
      <c r="CV115" s="7"/>
      <c r="CW115" s="7"/>
      <c r="CX115" s="7"/>
      <c r="CY115" s="7"/>
      <c r="CZ115" s="7"/>
      <c r="DA115" s="7"/>
      <c r="DB115" s="7"/>
      <c r="DC115" s="7"/>
      <c r="DD115" s="7"/>
      <c r="DE115" s="7"/>
      <c r="DF115" s="7"/>
      <c r="DG115" s="7"/>
      <c r="DH115" s="7"/>
      <c r="DI115" s="7"/>
      <c r="DJ115" s="7"/>
      <c r="DK115" s="7"/>
      <c r="DL115" s="7"/>
      <c r="DM115" s="7"/>
      <c r="DN115" s="7"/>
      <c r="DO115" s="7"/>
      <c r="DP115" s="7"/>
      <c r="DQ115" s="7"/>
      <c r="DR115" s="7"/>
      <c r="DS115" s="7"/>
      <c r="DT115" s="7"/>
      <c r="DU115" s="7"/>
      <c r="DV115" s="7"/>
      <c r="DW115" s="7"/>
      <c r="DX115" s="7"/>
      <c r="DY115" s="7"/>
      <c r="DZ115" s="7"/>
      <c r="EA115" s="7"/>
      <c r="EB115" s="7"/>
      <c r="EC115" s="7"/>
      <c r="ED115" s="7"/>
      <c r="EE115" s="7"/>
      <c r="EF115" s="7"/>
      <c r="EG115" s="7"/>
      <c r="EH115" s="7"/>
      <c r="EI115" s="7"/>
      <c r="EJ115" s="7"/>
      <c r="EK115" s="7"/>
      <c r="EL115" s="7"/>
      <c r="EM115" s="7"/>
      <c r="EN115" s="7"/>
      <c r="EO115" s="7"/>
      <c r="EP115" s="7"/>
      <c r="EQ115" s="7"/>
      <c r="ER115" s="7"/>
      <c r="ES115" s="7"/>
      <c r="ET115" s="7"/>
      <c r="EU115" s="7"/>
      <c r="EV115" s="7"/>
      <c r="EW115" s="7"/>
      <c r="EX115" s="7"/>
      <c r="EY115" s="7"/>
      <c r="EZ115" s="7"/>
      <c r="FA115" s="7"/>
      <c r="FB115" s="7"/>
      <c r="FC115" s="7"/>
      <c r="FD115" s="7"/>
      <c r="FE115" s="7"/>
      <c r="FF115" s="7"/>
      <c r="FG115" s="7"/>
      <c r="FH115" s="7"/>
      <c r="FI115" s="7"/>
      <c r="FJ115" s="7"/>
      <c r="FK115" s="7"/>
      <c r="FL115" s="7"/>
      <c r="FM115" s="7"/>
      <c r="FN115" s="7"/>
      <c r="FO115" s="7"/>
      <c r="FP115" s="7"/>
      <c r="FQ115" s="7"/>
      <c r="FR115" s="7"/>
      <c r="FS115" s="7"/>
      <c r="FT115" s="7"/>
      <c r="FU115" s="7"/>
      <c r="FV115" s="7"/>
      <c r="FW115" s="7"/>
      <c r="FX115" s="7"/>
      <c r="FY115" s="7"/>
      <c r="FZ115" s="7"/>
      <c r="GA115" s="7"/>
      <c r="GB115" s="7"/>
      <c r="GC115" s="7"/>
      <c r="GD115" s="7"/>
      <c r="GE115" s="7"/>
      <c r="GF115" s="7"/>
      <c r="GG115" s="7"/>
      <c r="GH115" s="7"/>
      <c r="GI115" s="7"/>
      <c r="GJ115" s="7"/>
      <c r="GK115" s="7"/>
      <c r="GL115" s="7"/>
      <c r="GM115" s="7"/>
      <c r="GN115" s="7"/>
      <c r="GO115" s="7"/>
      <c r="GP115" s="7"/>
      <c r="GQ115" s="7"/>
      <c r="GR115" s="7"/>
      <c r="GS115" s="7"/>
      <c r="GT115" s="7"/>
      <c r="GU115" s="7"/>
      <c r="GV115" s="7"/>
      <c r="GW115" s="7"/>
      <c r="GX115" s="7"/>
      <c r="GY115" s="7"/>
      <c r="GZ115" s="7"/>
      <c r="HA115" s="7"/>
      <c r="HB115" s="7"/>
      <c r="HC115" s="7"/>
      <c r="HD115" s="7"/>
      <c r="HE115" s="7"/>
      <c r="HF115" s="7"/>
      <c r="HG115" s="7"/>
      <c r="HH115" s="7"/>
      <c r="HI115" s="7"/>
      <c r="HJ115" s="7"/>
      <c r="HK115" s="7"/>
      <c r="HL115" s="7"/>
      <c r="HM115" s="7"/>
      <c r="HN115" s="7"/>
      <c r="HO115" s="7"/>
      <c r="HP115" s="7"/>
      <c r="HQ115" s="7"/>
      <c r="HR115" s="7"/>
      <c r="HS115" s="7"/>
      <c r="HT115" s="7"/>
      <c r="HU115" s="7"/>
      <c r="HV115" s="7"/>
      <c r="HW115" s="7"/>
      <c r="HX115" s="7"/>
      <c r="HY115" s="7"/>
    </row>
    <row r="116" spans="1:233">
      <c r="A116" s="56" t="s">
        <v>160</v>
      </c>
      <c r="B116" s="56" t="s">
        <v>161</v>
      </c>
      <c r="C116" s="56" t="s">
        <v>28</v>
      </c>
      <c r="D116" s="60">
        <v>756243.15</v>
      </c>
      <c r="E116" s="63" t="s">
        <v>22</v>
      </c>
      <c r="F116" s="66" t="s">
        <v>93</v>
      </c>
      <c r="G116" s="58" t="s">
        <v>97</v>
      </c>
      <c r="H116" s="59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7"/>
      <c r="BV116" s="7"/>
      <c r="BW116" s="7"/>
      <c r="BX116" s="7"/>
      <c r="BY116" s="7"/>
      <c r="BZ116" s="7"/>
      <c r="CA116" s="7"/>
      <c r="CB116" s="7"/>
      <c r="CC116" s="7"/>
      <c r="CD116" s="7"/>
      <c r="CE116" s="7"/>
      <c r="CF116" s="7"/>
      <c r="CG116" s="7"/>
      <c r="CH116" s="7"/>
      <c r="CI116" s="7"/>
      <c r="CJ116" s="7"/>
      <c r="CK116" s="7"/>
      <c r="CL116" s="7"/>
      <c r="CM116" s="7"/>
      <c r="CN116" s="7"/>
      <c r="CO116" s="7"/>
      <c r="CP116" s="7"/>
      <c r="CQ116" s="7"/>
      <c r="CR116" s="7"/>
      <c r="CS116" s="7"/>
      <c r="CT116" s="7"/>
      <c r="CU116" s="7"/>
      <c r="CV116" s="7"/>
      <c r="CW116" s="7"/>
      <c r="CX116" s="7"/>
      <c r="CY116" s="7"/>
      <c r="CZ116" s="7"/>
      <c r="DA116" s="7"/>
      <c r="DB116" s="7"/>
      <c r="DC116" s="7"/>
      <c r="DD116" s="7"/>
      <c r="DE116" s="7"/>
      <c r="DF116" s="7"/>
      <c r="DG116" s="7"/>
      <c r="DH116" s="7"/>
      <c r="DI116" s="7"/>
      <c r="DJ116" s="7"/>
      <c r="DK116" s="7"/>
      <c r="DL116" s="7"/>
      <c r="DM116" s="7"/>
      <c r="DN116" s="7"/>
      <c r="DO116" s="7"/>
      <c r="DP116" s="7"/>
      <c r="DQ116" s="7"/>
      <c r="DR116" s="7"/>
      <c r="DS116" s="7"/>
      <c r="DT116" s="7"/>
      <c r="DU116" s="7"/>
      <c r="DV116" s="7"/>
      <c r="DW116" s="7"/>
      <c r="DX116" s="7"/>
      <c r="DY116" s="7"/>
      <c r="DZ116" s="7"/>
      <c r="EA116" s="7"/>
      <c r="EB116" s="7"/>
      <c r="EC116" s="7"/>
      <c r="ED116" s="7"/>
      <c r="EE116" s="7"/>
      <c r="EF116" s="7"/>
      <c r="EG116" s="7"/>
      <c r="EH116" s="7"/>
      <c r="EI116" s="7"/>
      <c r="EJ116" s="7"/>
      <c r="EK116" s="7"/>
      <c r="EL116" s="7"/>
      <c r="EM116" s="7"/>
      <c r="EN116" s="7"/>
      <c r="EO116" s="7"/>
      <c r="EP116" s="7"/>
      <c r="EQ116" s="7"/>
      <c r="ER116" s="7"/>
      <c r="ES116" s="7"/>
      <c r="ET116" s="7"/>
      <c r="EU116" s="7"/>
      <c r="EV116" s="7"/>
      <c r="EW116" s="7"/>
      <c r="EX116" s="7"/>
      <c r="EY116" s="7"/>
      <c r="EZ116" s="7"/>
      <c r="FA116" s="7"/>
      <c r="FB116" s="7"/>
      <c r="FC116" s="7"/>
      <c r="FD116" s="7"/>
      <c r="FE116" s="7"/>
      <c r="FF116" s="7"/>
      <c r="FG116" s="7"/>
      <c r="FH116" s="7"/>
      <c r="FI116" s="7"/>
      <c r="FJ116" s="7"/>
      <c r="FK116" s="7"/>
      <c r="FL116" s="7"/>
      <c r="FM116" s="7"/>
      <c r="FN116" s="7"/>
      <c r="FO116" s="7"/>
      <c r="FP116" s="7"/>
      <c r="FQ116" s="7"/>
      <c r="FR116" s="7"/>
      <c r="FS116" s="7"/>
      <c r="FT116" s="7"/>
      <c r="FU116" s="7"/>
      <c r="FV116" s="7"/>
      <c r="FW116" s="7"/>
      <c r="FX116" s="7"/>
      <c r="FY116" s="7"/>
      <c r="FZ116" s="7"/>
      <c r="GA116" s="7"/>
      <c r="GB116" s="7"/>
      <c r="GC116" s="7"/>
      <c r="GD116" s="7"/>
      <c r="GE116" s="7"/>
      <c r="GF116" s="7"/>
      <c r="GG116" s="7"/>
      <c r="GH116" s="7"/>
      <c r="GI116" s="7"/>
      <c r="GJ116" s="7"/>
      <c r="GK116" s="7"/>
      <c r="GL116" s="7"/>
      <c r="GM116" s="7"/>
      <c r="GN116" s="7"/>
      <c r="GO116" s="7"/>
      <c r="GP116" s="7"/>
      <c r="GQ116" s="7"/>
      <c r="GR116" s="7"/>
      <c r="GS116" s="7"/>
      <c r="GT116" s="7"/>
      <c r="GU116" s="7"/>
      <c r="GV116" s="7"/>
      <c r="GW116" s="7"/>
      <c r="GX116" s="7"/>
      <c r="GY116" s="7"/>
      <c r="GZ116" s="7"/>
      <c r="HA116" s="7"/>
      <c r="HB116" s="7"/>
      <c r="HC116" s="7"/>
      <c r="HD116" s="7"/>
      <c r="HE116" s="7"/>
      <c r="HF116" s="7"/>
      <c r="HG116" s="7"/>
      <c r="HH116" s="7"/>
      <c r="HI116" s="7"/>
      <c r="HJ116" s="7"/>
      <c r="HK116" s="7"/>
      <c r="HL116" s="7"/>
      <c r="HM116" s="7"/>
      <c r="HN116" s="7"/>
      <c r="HO116" s="7"/>
      <c r="HP116" s="7"/>
      <c r="HQ116" s="7"/>
      <c r="HR116" s="7"/>
      <c r="HS116" s="7"/>
      <c r="HT116" s="7"/>
      <c r="HU116" s="7"/>
      <c r="HV116" s="7"/>
      <c r="HW116" s="7"/>
      <c r="HX116" s="7"/>
      <c r="HY116" s="7"/>
    </row>
    <row r="117" spans="1:233">
      <c r="A117" s="56" t="s">
        <v>160</v>
      </c>
      <c r="B117" s="56" t="s">
        <v>161</v>
      </c>
      <c r="C117" s="56" t="s">
        <v>29</v>
      </c>
      <c r="D117" s="60">
        <v>2554818.4300000002</v>
      </c>
      <c r="E117" s="63" t="s">
        <v>19</v>
      </c>
      <c r="F117" s="66" t="s">
        <v>93</v>
      </c>
      <c r="G117" s="58" t="s">
        <v>98</v>
      </c>
      <c r="H117" s="59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7"/>
      <c r="BV117" s="7"/>
      <c r="BW117" s="7"/>
      <c r="BX117" s="7"/>
      <c r="BY117" s="7"/>
      <c r="BZ117" s="7"/>
      <c r="CA117" s="7"/>
      <c r="CB117" s="7"/>
      <c r="CC117" s="7"/>
      <c r="CD117" s="7"/>
      <c r="CE117" s="7"/>
      <c r="CF117" s="7"/>
      <c r="CG117" s="7"/>
      <c r="CH117" s="7"/>
      <c r="CI117" s="7"/>
      <c r="CJ117" s="7"/>
      <c r="CK117" s="7"/>
      <c r="CL117" s="7"/>
      <c r="CM117" s="7"/>
      <c r="CN117" s="7"/>
      <c r="CO117" s="7"/>
      <c r="CP117" s="7"/>
      <c r="CQ117" s="7"/>
      <c r="CR117" s="7"/>
      <c r="CS117" s="7"/>
      <c r="CT117" s="7"/>
      <c r="CU117" s="7"/>
      <c r="CV117" s="7"/>
      <c r="CW117" s="7"/>
      <c r="CX117" s="7"/>
      <c r="CY117" s="7"/>
      <c r="CZ117" s="7"/>
      <c r="DA117" s="7"/>
      <c r="DB117" s="7"/>
      <c r="DC117" s="7"/>
      <c r="DD117" s="7"/>
      <c r="DE117" s="7"/>
      <c r="DF117" s="7"/>
      <c r="DG117" s="7"/>
      <c r="DH117" s="7"/>
      <c r="DI117" s="7"/>
      <c r="DJ117" s="7"/>
      <c r="DK117" s="7"/>
      <c r="DL117" s="7"/>
      <c r="DM117" s="7"/>
      <c r="DN117" s="7"/>
      <c r="DO117" s="7"/>
      <c r="DP117" s="7"/>
      <c r="DQ117" s="7"/>
      <c r="DR117" s="7"/>
      <c r="DS117" s="7"/>
      <c r="DT117" s="7"/>
      <c r="DU117" s="7"/>
      <c r="DV117" s="7"/>
      <c r="DW117" s="7"/>
      <c r="DX117" s="7"/>
      <c r="DY117" s="7"/>
      <c r="DZ117" s="7"/>
      <c r="EA117" s="7"/>
      <c r="EB117" s="7"/>
      <c r="EC117" s="7"/>
      <c r="ED117" s="7"/>
      <c r="EE117" s="7"/>
      <c r="EF117" s="7"/>
      <c r="EG117" s="7"/>
      <c r="EH117" s="7"/>
      <c r="EI117" s="7"/>
      <c r="EJ117" s="7"/>
      <c r="EK117" s="7"/>
      <c r="EL117" s="7"/>
      <c r="EM117" s="7"/>
      <c r="EN117" s="7"/>
      <c r="EO117" s="7"/>
      <c r="EP117" s="7"/>
      <c r="EQ117" s="7"/>
      <c r="ER117" s="7"/>
      <c r="ES117" s="7"/>
      <c r="ET117" s="7"/>
      <c r="EU117" s="7"/>
      <c r="EV117" s="7"/>
      <c r="EW117" s="7"/>
      <c r="EX117" s="7"/>
      <c r="EY117" s="7"/>
      <c r="EZ117" s="7"/>
      <c r="FA117" s="7"/>
      <c r="FB117" s="7"/>
      <c r="FC117" s="7"/>
      <c r="FD117" s="7"/>
      <c r="FE117" s="7"/>
      <c r="FF117" s="7"/>
      <c r="FG117" s="7"/>
      <c r="FH117" s="7"/>
      <c r="FI117" s="7"/>
      <c r="FJ117" s="7"/>
      <c r="FK117" s="7"/>
      <c r="FL117" s="7"/>
      <c r="FM117" s="7"/>
      <c r="FN117" s="7"/>
      <c r="FO117" s="7"/>
      <c r="FP117" s="7"/>
      <c r="FQ117" s="7"/>
      <c r="FR117" s="7"/>
      <c r="FS117" s="7"/>
      <c r="FT117" s="7"/>
      <c r="FU117" s="7"/>
      <c r="FV117" s="7"/>
      <c r="FW117" s="7"/>
      <c r="FX117" s="7"/>
      <c r="FY117" s="7"/>
      <c r="FZ117" s="7"/>
      <c r="GA117" s="7"/>
      <c r="GB117" s="7"/>
      <c r="GC117" s="7"/>
      <c r="GD117" s="7"/>
      <c r="GE117" s="7"/>
      <c r="GF117" s="7"/>
      <c r="GG117" s="7"/>
      <c r="GH117" s="7"/>
      <c r="GI117" s="7"/>
      <c r="GJ117" s="7"/>
      <c r="GK117" s="7"/>
      <c r="GL117" s="7"/>
      <c r="GM117" s="7"/>
      <c r="GN117" s="7"/>
      <c r="GO117" s="7"/>
      <c r="GP117" s="7"/>
      <c r="GQ117" s="7"/>
      <c r="GR117" s="7"/>
      <c r="GS117" s="7"/>
      <c r="GT117" s="7"/>
      <c r="GU117" s="7"/>
      <c r="GV117" s="7"/>
      <c r="GW117" s="7"/>
      <c r="GX117" s="7"/>
      <c r="GY117" s="7"/>
      <c r="GZ117" s="7"/>
      <c r="HA117" s="7"/>
      <c r="HB117" s="7"/>
      <c r="HC117" s="7"/>
      <c r="HD117" s="7"/>
      <c r="HE117" s="7"/>
      <c r="HF117" s="7"/>
      <c r="HG117" s="7"/>
      <c r="HH117" s="7"/>
      <c r="HI117" s="7"/>
      <c r="HJ117" s="7"/>
      <c r="HK117" s="7"/>
      <c r="HL117" s="7"/>
      <c r="HM117" s="7"/>
      <c r="HN117" s="7"/>
      <c r="HO117" s="7"/>
      <c r="HP117" s="7"/>
      <c r="HQ117" s="7"/>
      <c r="HR117" s="7"/>
      <c r="HS117" s="7"/>
      <c r="HT117" s="7"/>
      <c r="HU117" s="7"/>
      <c r="HV117" s="7"/>
      <c r="HW117" s="7"/>
      <c r="HX117" s="7"/>
      <c r="HY117" s="7"/>
    </row>
    <row r="118" spans="1:233">
      <c r="A118" s="56" t="s">
        <v>160</v>
      </c>
      <c r="B118" s="56" t="s">
        <v>161</v>
      </c>
      <c r="C118" s="56" t="s">
        <v>30</v>
      </c>
      <c r="D118" s="60">
        <v>37588.339999999997</v>
      </c>
      <c r="E118" s="63" t="s">
        <v>18</v>
      </c>
      <c r="F118" s="66" t="s">
        <v>93</v>
      </c>
      <c r="G118" s="58" t="s">
        <v>94</v>
      </c>
      <c r="H118" s="59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7"/>
      <c r="BV118" s="7"/>
      <c r="BW118" s="7"/>
      <c r="BX118" s="7"/>
      <c r="BY118" s="7"/>
      <c r="BZ118" s="7"/>
      <c r="CA118" s="7"/>
      <c r="CB118" s="7"/>
      <c r="CC118" s="7"/>
      <c r="CD118" s="7"/>
      <c r="CE118" s="7"/>
      <c r="CF118" s="7"/>
      <c r="CG118" s="7"/>
      <c r="CH118" s="7"/>
      <c r="CI118" s="7"/>
      <c r="CJ118" s="7"/>
      <c r="CK118" s="7"/>
      <c r="CL118" s="7"/>
      <c r="CM118" s="7"/>
      <c r="CN118" s="7"/>
      <c r="CO118" s="7"/>
      <c r="CP118" s="7"/>
      <c r="CQ118" s="7"/>
      <c r="CR118" s="7"/>
      <c r="CS118" s="7"/>
      <c r="CT118" s="7"/>
      <c r="CU118" s="7"/>
      <c r="CV118" s="7"/>
      <c r="CW118" s="7"/>
      <c r="CX118" s="7"/>
      <c r="CY118" s="7"/>
      <c r="CZ118" s="7"/>
      <c r="DA118" s="7"/>
      <c r="DB118" s="7"/>
      <c r="DC118" s="7"/>
      <c r="DD118" s="7"/>
      <c r="DE118" s="7"/>
      <c r="DF118" s="7"/>
      <c r="DG118" s="7"/>
      <c r="DH118" s="7"/>
      <c r="DI118" s="7"/>
      <c r="DJ118" s="7"/>
      <c r="DK118" s="7"/>
      <c r="DL118" s="7"/>
      <c r="DM118" s="7"/>
      <c r="DN118" s="7"/>
      <c r="DO118" s="7"/>
      <c r="DP118" s="7"/>
      <c r="DQ118" s="7"/>
      <c r="DR118" s="7"/>
      <c r="DS118" s="7"/>
      <c r="DT118" s="7"/>
      <c r="DU118" s="7"/>
      <c r="DV118" s="7"/>
      <c r="DW118" s="7"/>
      <c r="DX118" s="7"/>
      <c r="DY118" s="7"/>
      <c r="DZ118" s="7"/>
      <c r="EA118" s="7"/>
      <c r="EB118" s="7"/>
      <c r="EC118" s="7"/>
      <c r="ED118" s="7"/>
      <c r="EE118" s="7"/>
      <c r="EF118" s="7"/>
      <c r="EG118" s="7"/>
      <c r="EH118" s="7"/>
      <c r="EI118" s="7"/>
      <c r="EJ118" s="7"/>
      <c r="EK118" s="7"/>
      <c r="EL118" s="7"/>
      <c r="EM118" s="7"/>
      <c r="EN118" s="7"/>
      <c r="EO118" s="7"/>
      <c r="EP118" s="7"/>
      <c r="EQ118" s="7"/>
      <c r="ER118" s="7"/>
      <c r="ES118" s="7"/>
      <c r="ET118" s="7"/>
      <c r="EU118" s="7"/>
      <c r="EV118" s="7"/>
      <c r="EW118" s="7"/>
      <c r="EX118" s="7"/>
      <c r="EY118" s="7"/>
      <c r="EZ118" s="7"/>
      <c r="FA118" s="7"/>
      <c r="FB118" s="7"/>
      <c r="FC118" s="7"/>
      <c r="FD118" s="7"/>
      <c r="FE118" s="7"/>
      <c r="FF118" s="7"/>
      <c r="FG118" s="7"/>
      <c r="FH118" s="7"/>
      <c r="FI118" s="7"/>
      <c r="FJ118" s="7"/>
      <c r="FK118" s="7"/>
      <c r="FL118" s="7"/>
      <c r="FM118" s="7"/>
      <c r="FN118" s="7"/>
      <c r="FO118" s="7"/>
      <c r="FP118" s="7"/>
      <c r="FQ118" s="7"/>
      <c r="FR118" s="7"/>
      <c r="FS118" s="7"/>
      <c r="FT118" s="7"/>
      <c r="FU118" s="7"/>
      <c r="FV118" s="7"/>
      <c r="FW118" s="7"/>
      <c r="FX118" s="7"/>
      <c r="FY118" s="7"/>
      <c r="FZ118" s="7"/>
      <c r="GA118" s="7"/>
      <c r="GB118" s="7"/>
      <c r="GC118" s="7"/>
      <c r="GD118" s="7"/>
      <c r="GE118" s="7"/>
      <c r="GF118" s="7"/>
      <c r="GG118" s="7"/>
      <c r="GH118" s="7"/>
      <c r="GI118" s="7"/>
      <c r="GJ118" s="7"/>
      <c r="GK118" s="7"/>
      <c r="GL118" s="7"/>
      <c r="GM118" s="7"/>
      <c r="GN118" s="7"/>
      <c r="GO118" s="7"/>
      <c r="GP118" s="7"/>
      <c r="GQ118" s="7"/>
      <c r="GR118" s="7"/>
      <c r="GS118" s="7"/>
      <c r="GT118" s="7"/>
      <c r="GU118" s="7"/>
      <c r="GV118" s="7"/>
      <c r="GW118" s="7"/>
      <c r="GX118" s="7"/>
      <c r="GY118" s="7"/>
      <c r="GZ118" s="7"/>
      <c r="HA118" s="7"/>
      <c r="HB118" s="7"/>
      <c r="HC118" s="7"/>
      <c r="HD118" s="7"/>
      <c r="HE118" s="7"/>
      <c r="HF118" s="7"/>
      <c r="HG118" s="7"/>
      <c r="HH118" s="7"/>
      <c r="HI118" s="7"/>
      <c r="HJ118" s="7"/>
      <c r="HK118" s="7"/>
      <c r="HL118" s="7"/>
      <c r="HM118" s="7"/>
      <c r="HN118" s="7"/>
      <c r="HO118" s="7"/>
      <c r="HP118" s="7"/>
      <c r="HQ118" s="7"/>
      <c r="HR118" s="7"/>
      <c r="HS118" s="7"/>
      <c r="HT118" s="7"/>
      <c r="HU118" s="7"/>
      <c r="HV118" s="7"/>
      <c r="HW118" s="7"/>
      <c r="HX118" s="7"/>
      <c r="HY118" s="7"/>
    </row>
    <row r="119" spans="1:233">
      <c r="A119" s="56" t="s">
        <v>162</v>
      </c>
      <c r="B119" s="56" t="s">
        <v>163</v>
      </c>
      <c r="C119" s="56" t="s">
        <v>67</v>
      </c>
      <c r="D119" s="60">
        <v>98480.55</v>
      </c>
      <c r="E119" s="63" t="s">
        <v>21</v>
      </c>
      <c r="F119" s="66" t="s">
        <v>11</v>
      </c>
      <c r="G119" s="58" t="s">
        <v>109</v>
      </c>
      <c r="H119" s="59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7"/>
      <c r="BW119" s="7"/>
      <c r="BX119" s="7"/>
      <c r="BY119" s="7"/>
      <c r="BZ119" s="7"/>
      <c r="CA119" s="7"/>
      <c r="CB119" s="7"/>
      <c r="CC119" s="7"/>
      <c r="CD119" s="7"/>
      <c r="CE119" s="7"/>
      <c r="CF119" s="7"/>
      <c r="CG119" s="7"/>
      <c r="CH119" s="7"/>
      <c r="CI119" s="7"/>
      <c r="CJ119" s="7"/>
      <c r="CK119" s="7"/>
      <c r="CL119" s="7"/>
      <c r="CM119" s="7"/>
      <c r="CN119" s="7"/>
      <c r="CO119" s="7"/>
      <c r="CP119" s="7"/>
      <c r="CQ119" s="7"/>
      <c r="CR119" s="7"/>
      <c r="CS119" s="7"/>
      <c r="CT119" s="7"/>
      <c r="CU119" s="7"/>
      <c r="CV119" s="7"/>
      <c r="CW119" s="7"/>
      <c r="CX119" s="7"/>
      <c r="CY119" s="7"/>
      <c r="CZ119" s="7"/>
      <c r="DA119" s="7"/>
      <c r="DB119" s="7"/>
      <c r="DC119" s="7"/>
      <c r="DD119" s="7"/>
      <c r="DE119" s="7"/>
      <c r="DF119" s="7"/>
      <c r="DG119" s="7"/>
      <c r="DH119" s="7"/>
      <c r="DI119" s="7"/>
      <c r="DJ119" s="7"/>
      <c r="DK119" s="7"/>
      <c r="DL119" s="7"/>
      <c r="DM119" s="7"/>
      <c r="DN119" s="7"/>
      <c r="DO119" s="7"/>
      <c r="DP119" s="7"/>
      <c r="DQ119" s="7"/>
      <c r="DR119" s="7"/>
      <c r="DS119" s="7"/>
      <c r="DT119" s="7"/>
      <c r="DU119" s="7"/>
      <c r="DV119" s="7"/>
      <c r="DW119" s="7"/>
      <c r="DX119" s="7"/>
      <c r="DY119" s="7"/>
      <c r="DZ119" s="7"/>
      <c r="EA119" s="7"/>
      <c r="EB119" s="7"/>
      <c r="EC119" s="7"/>
      <c r="ED119" s="7"/>
      <c r="EE119" s="7"/>
      <c r="EF119" s="7"/>
      <c r="EG119" s="7"/>
      <c r="EH119" s="7"/>
      <c r="EI119" s="7"/>
      <c r="EJ119" s="7"/>
      <c r="EK119" s="7"/>
      <c r="EL119" s="7"/>
      <c r="EM119" s="7"/>
      <c r="EN119" s="7"/>
      <c r="EO119" s="7"/>
      <c r="EP119" s="7"/>
      <c r="EQ119" s="7"/>
      <c r="ER119" s="7"/>
      <c r="ES119" s="7"/>
      <c r="ET119" s="7"/>
      <c r="EU119" s="7"/>
      <c r="EV119" s="7"/>
      <c r="EW119" s="7"/>
      <c r="EX119" s="7"/>
      <c r="EY119" s="7"/>
      <c r="EZ119" s="7"/>
      <c r="FA119" s="7"/>
      <c r="FB119" s="7"/>
      <c r="FC119" s="7"/>
      <c r="FD119" s="7"/>
      <c r="FE119" s="7"/>
      <c r="FF119" s="7"/>
      <c r="FG119" s="7"/>
      <c r="FH119" s="7"/>
      <c r="FI119" s="7"/>
      <c r="FJ119" s="7"/>
      <c r="FK119" s="7"/>
      <c r="FL119" s="7"/>
      <c r="FM119" s="7"/>
      <c r="FN119" s="7"/>
      <c r="FO119" s="7"/>
      <c r="FP119" s="7"/>
      <c r="FQ119" s="7"/>
      <c r="FR119" s="7"/>
      <c r="FS119" s="7"/>
      <c r="FT119" s="7"/>
      <c r="FU119" s="7"/>
      <c r="FV119" s="7"/>
      <c r="FW119" s="7"/>
      <c r="FX119" s="7"/>
      <c r="FY119" s="7"/>
      <c r="FZ119" s="7"/>
      <c r="GA119" s="7"/>
      <c r="GB119" s="7"/>
      <c r="GC119" s="7"/>
      <c r="GD119" s="7"/>
      <c r="GE119" s="7"/>
      <c r="GF119" s="7"/>
      <c r="GG119" s="7"/>
      <c r="GH119" s="7"/>
      <c r="GI119" s="7"/>
      <c r="GJ119" s="7"/>
      <c r="GK119" s="7"/>
      <c r="GL119" s="7"/>
      <c r="GM119" s="7"/>
      <c r="GN119" s="7"/>
      <c r="GO119" s="7"/>
      <c r="GP119" s="7"/>
      <c r="GQ119" s="7"/>
      <c r="GR119" s="7"/>
      <c r="GS119" s="7"/>
      <c r="GT119" s="7"/>
      <c r="GU119" s="7"/>
      <c r="GV119" s="7"/>
      <c r="GW119" s="7"/>
      <c r="GX119" s="7"/>
      <c r="GY119" s="7"/>
      <c r="GZ119" s="7"/>
      <c r="HA119" s="7"/>
      <c r="HB119" s="7"/>
      <c r="HC119" s="7"/>
      <c r="HD119" s="7"/>
      <c r="HE119" s="7"/>
      <c r="HF119" s="7"/>
      <c r="HG119" s="7"/>
      <c r="HH119" s="7"/>
      <c r="HI119" s="7"/>
      <c r="HJ119" s="7"/>
      <c r="HK119" s="7"/>
      <c r="HL119" s="7"/>
      <c r="HM119" s="7"/>
      <c r="HN119" s="7"/>
      <c r="HO119" s="7"/>
      <c r="HP119" s="7"/>
      <c r="HQ119" s="7"/>
      <c r="HR119" s="7"/>
      <c r="HS119" s="7"/>
      <c r="HT119" s="7"/>
      <c r="HU119" s="7"/>
      <c r="HV119" s="7"/>
      <c r="HW119" s="7"/>
      <c r="HX119" s="7"/>
      <c r="HY119" s="7"/>
    </row>
    <row r="120" spans="1:233">
      <c r="A120" s="56" t="s">
        <v>162</v>
      </c>
      <c r="B120" s="56" t="s">
        <v>163</v>
      </c>
      <c r="C120" s="56" t="s">
        <v>28</v>
      </c>
      <c r="D120" s="60">
        <v>210167.04000000001</v>
      </c>
      <c r="E120" s="63" t="s">
        <v>22</v>
      </c>
      <c r="F120" s="66" t="s">
        <v>11</v>
      </c>
      <c r="G120" s="58" t="s">
        <v>110</v>
      </c>
      <c r="H120" s="59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/>
      <c r="BV120" s="7"/>
      <c r="BW120" s="7"/>
      <c r="BX120" s="7"/>
      <c r="BY120" s="7"/>
      <c r="BZ120" s="7"/>
      <c r="CA120" s="7"/>
      <c r="CB120" s="7"/>
      <c r="CC120" s="7"/>
      <c r="CD120" s="7"/>
      <c r="CE120" s="7"/>
      <c r="CF120" s="7"/>
      <c r="CG120" s="7"/>
      <c r="CH120" s="7"/>
      <c r="CI120" s="7"/>
      <c r="CJ120" s="7"/>
      <c r="CK120" s="7"/>
      <c r="CL120" s="7"/>
      <c r="CM120" s="7"/>
      <c r="CN120" s="7"/>
      <c r="CO120" s="7"/>
      <c r="CP120" s="7"/>
      <c r="CQ120" s="7"/>
      <c r="CR120" s="7"/>
      <c r="CS120" s="7"/>
      <c r="CT120" s="7"/>
      <c r="CU120" s="7"/>
      <c r="CV120" s="7"/>
      <c r="CW120" s="7"/>
      <c r="CX120" s="7"/>
      <c r="CY120" s="7"/>
      <c r="CZ120" s="7"/>
      <c r="DA120" s="7"/>
      <c r="DB120" s="7"/>
      <c r="DC120" s="7"/>
      <c r="DD120" s="7"/>
      <c r="DE120" s="7"/>
      <c r="DF120" s="7"/>
      <c r="DG120" s="7"/>
      <c r="DH120" s="7"/>
      <c r="DI120" s="7"/>
      <c r="DJ120" s="7"/>
      <c r="DK120" s="7"/>
      <c r="DL120" s="7"/>
      <c r="DM120" s="7"/>
      <c r="DN120" s="7"/>
      <c r="DO120" s="7"/>
      <c r="DP120" s="7"/>
      <c r="DQ120" s="7"/>
      <c r="DR120" s="7"/>
      <c r="DS120" s="7"/>
      <c r="DT120" s="7"/>
      <c r="DU120" s="7"/>
      <c r="DV120" s="7"/>
      <c r="DW120" s="7"/>
      <c r="DX120" s="7"/>
      <c r="DY120" s="7"/>
      <c r="DZ120" s="7"/>
      <c r="EA120" s="7"/>
      <c r="EB120" s="7"/>
      <c r="EC120" s="7"/>
      <c r="ED120" s="7"/>
      <c r="EE120" s="7"/>
      <c r="EF120" s="7"/>
      <c r="EG120" s="7"/>
      <c r="EH120" s="7"/>
      <c r="EI120" s="7"/>
      <c r="EJ120" s="7"/>
      <c r="EK120" s="7"/>
      <c r="EL120" s="7"/>
      <c r="EM120" s="7"/>
      <c r="EN120" s="7"/>
      <c r="EO120" s="7"/>
      <c r="EP120" s="7"/>
      <c r="EQ120" s="7"/>
      <c r="ER120" s="7"/>
      <c r="ES120" s="7"/>
      <c r="ET120" s="7"/>
      <c r="EU120" s="7"/>
      <c r="EV120" s="7"/>
      <c r="EW120" s="7"/>
      <c r="EX120" s="7"/>
      <c r="EY120" s="7"/>
      <c r="EZ120" s="7"/>
      <c r="FA120" s="7"/>
      <c r="FB120" s="7"/>
      <c r="FC120" s="7"/>
      <c r="FD120" s="7"/>
      <c r="FE120" s="7"/>
      <c r="FF120" s="7"/>
      <c r="FG120" s="7"/>
      <c r="FH120" s="7"/>
      <c r="FI120" s="7"/>
      <c r="FJ120" s="7"/>
      <c r="FK120" s="7"/>
      <c r="FL120" s="7"/>
      <c r="FM120" s="7"/>
      <c r="FN120" s="7"/>
      <c r="FO120" s="7"/>
      <c r="FP120" s="7"/>
      <c r="FQ120" s="7"/>
      <c r="FR120" s="7"/>
      <c r="FS120" s="7"/>
      <c r="FT120" s="7"/>
      <c r="FU120" s="7"/>
      <c r="FV120" s="7"/>
      <c r="FW120" s="7"/>
      <c r="FX120" s="7"/>
      <c r="FY120" s="7"/>
      <c r="FZ120" s="7"/>
      <c r="GA120" s="7"/>
      <c r="GB120" s="7"/>
      <c r="GC120" s="7"/>
      <c r="GD120" s="7"/>
      <c r="GE120" s="7"/>
      <c r="GF120" s="7"/>
      <c r="GG120" s="7"/>
      <c r="GH120" s="7"/>
      <c r="GI120" s="7"/>
      <c r="GJ120" s="7"/>
      <c r="GK120" s="7"/>
      <c r="GL120" s="7"/>
      <c r="GM120" s="7"/>
      <c r="GN120" s="7"/>
      <c r="GO120" s="7"/>
      <c r="GP120" s="7"/>
      <c r="GQ120" s="7"/>
      <c r="GR120" s="7"/>
      <c r="GS120" s="7"/>
      <c r="GT120" s="7"/>
      <c r="GU120" s="7"/>
      <c r="GV120" s="7"/>
      <c r="GW120" s="7"/>
      <c r="GX120" s="7"/>
      <c r="GY120" s="7"/>
      <c r="GZ120" s="7"/>
      <c r="HA120" s="7"/>
      <c r="HB120" s="7"/>
      <c r="HC120" s="7"/>
      <c r="HD120" s="7"/>
      <c r="HE120" s="7"/>
      <c r="HF120" s="7"/>
      <c r="HG120" s="7"/>
      <c r="HH120" s="7"/>
      <c r="HI120" s="7"/>
      <c r="HJ120" s="7"/>
      <c r="HK120" s="7"/>
      <c r="HL120" s="7"/>
      <c r="HM120" s="7"/>
      <c r="HN120" s="7"/>
      <c r="HO120" s="7"/>
      <c r="HP120" s="7"/>
      <c r="HQ120" s="7"/>
      <c r="HR120" s="7"/>
      <c r="HS120" s="7"/>
      <c r="HT120" s="7"/>
      <c r="HU120" s="7"/>
      <c r="HV120" s="7"/>
      <c r="HW120" s="7"/>
      <c r="HX120" s="7"/>
      <c r="HY120" s="7"/>
    </row>
    <row r="121" spans="1:233">
      <c r="A121" s="56" t="s">
        <v>162</v>
      </c>
      <c r="B121" s="56" t="s">
        <v>163</v>
      </c>
      <c r="C121" s="56" t="s">
        <v>29</v>
      </c>
      <c r="D121" s="60">
        <v>373608.6</v>
      </c>
      <c r="E121" s="63" t="s">
        <v>19</v>
      </c>
      <c r="F121" s="66" t="s">
        <v>11</v>
      </c>
      <c r="G121" s="58" t="s">
        <v>111</v>
      </c>
      <c r="H121" s="59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7"/>
      <c r="BV121" s="7"/>
      <c r="BW121" s="7"/>
      <c r="BX121" s="7"/>
      <c r="BY121" s="7"/>
      <c r="BZ121" s="7"/>
      <c r="CA121" s="7"/>
      <c r="CB121" s="7"/>
      <c r="CC121" s="7"/>
      <c r="CD121" s="7"/>
      <c r="CE121" s="7"/>
      <c r="CF121" s="7"/>
      <c r="CG121" s="7"/>
      <c r="CH121" s="7"/>
      <c r="CI121" s="7"/>
      <c r="CJ121" s="7"/>
      <c r="CK121" s="7"/>
      <c r="CL121" s="7"/>
      <c r="CM121" s="7"/>
      <c r="CN121" s="7"/>
      <c r="CO121" s="7"/>
      <c r="CP121" s="7"/>
      <c r="CQ121" s="7"/>
      <c r="CR121" s="7"/>
      <c r="CS121" s="7"/>
      <c r="CT121" s="7"/>
      <c r="CU121" s="7"/>
      <c r="CV121" s="7"/>
      <c r="CW121" s="7"/>
      <c r="CX121" s="7"/>
      <c r="CY121" s="7"/>
      <c r="CZ121" s="7"/>
      <c r="DA121" s="7"/>
      <c r="DB121" s="7"/>
      <c r="DC121" s="7"/>
      <c r="DD121" s="7"/>
      <c r="DE121" s="7"/>
      <c r="DF121" s="7"/>
      <c r="DG121" s="7"/>
      <c r="DH121" s="7"/>
      <c r="DI121" s="7"/>
      <c r="DJ121" s="7"/>
      <c r="DK121" s="7"/>
      <c r="DL121" s="7"/>
      <c r="DM121" s="7"/>
      <c r="DN121" s="7"/>
      <c r="DO121" s="7"/>
      <c r="DP121" s="7"/>
      <c r="DQ121" s="7"/>
      <c r="DR121" s="7"/>
      <c r="DS121" s="7"/>
      <c r="DT121" s="7"/>
      <c r="DU121" s="7"/>
      <c r="DV121" s="7"/>
      <c r="DW121" s="7"/>
      <c r="DX121" s="7"/>
      <c r="DY121" s="7"/>
      <c r="DZ121" s="7"/>
      <c r="EA121" s="7"/>
      <c r="EB121" s="7"/>
      <c r="EC121" s="7"/>
      <c r="ED121" s="7"/>
      <c r="EE121" s="7"/>
      <c r="EF121" s="7"/>
      <c r="EG121" s="7"/>
      <c r="EH121" s="7"/>
      <c r="EI121" s="7"/>
      <c r="EJ121" s="7"/>
      <c r="EK121" s="7"/>
      <c r="EL121" s="7"/>
      <c r="EM121" s="7"/>
      <c r="EN121" s="7"/>
      <c r="EO121" s="7"/>
      <c r="EP121" s="7"/>
      <c r="EQ121" s="7"/>
      <c r="ER121" s="7"/>
      <c r="ES121" s="7"/>
      <c r="ET121" s="7"/>
      <c r="EU121" s="7"/>
      <c r="EV121" s="7"/>
      <c r="EW121" s="7"/>
      <c r="EX121" s="7"/>
      <c r="EY121" s="7"/>
      <c r="EZ121" s="7"/>
      <c r="FA121" s="7"/>
      <c r="FB121" s="7"/>
      <c r="FC121" s="7"/>
      <c r="FD121" s="7"/>
      <c r="FE121" s="7"/>
      <c r="FF121" s="7"/>
      <c r="FG121" s="7"/>
      <c r="FH121" s="7"/>
      <c r="FI121" s="7"/>
      <c r="FJ121" s="7"/>
      <c r="FK121" s="7"/>
      <c r="FL121" s="7"/>
      <c r="FM121" s="7"/>
      <c r="FN121" s="7"/>
      <c r="FO121" s="7"/>
      <c r="FP121" s="7"/>
      <c r="FQ121" s="7"/>
      <c r="FR121" s="7"/>
      <c r="FS121" s="7"/>
      <c r="FT121" s="7"/>
      <c r="FU121" s="7"/>
      <c r="FV121" s="7"/>
      <c r="FW121" s="7"/>
      <c r="FX121" s="7"/>
      <c r="FY121" s="7"/>
      <c r="FZ121" s="7"/>
      <c r="GA121" s="7"/>
      <c r="GB121" s="7"/>
      <c r="GC121" s="7"/>
      <c r="GD121" s="7"/>
      <c r="GE121" s="7"/>
      <c r="GF121" s="7"/>
      <c r="GG121" s="7"/>
      <c r="GH121" s="7"/>
      <c r="GI121" s="7"/>
      <c r="GJ121" s="7"/>
      <c r="GK121" s="7"/>
      <c r="GL121" s="7"/>
      <c r="GM121" s="7"/>
      <c r="GN121" s="7"/>
      <c r="GO121" s="7"/>
      <c r="GP121" s="7"/>
      <c r="GQ121" s="7"/>
      <c r="GR121" s="7"/>
      <c r="GS121" s="7"/>
      <c r="GT121" s="7"/>
      <c r="GU121" s="7"/>
      <c r="GV121" s="7"/>
      <c r="GW121" s="7"/>
      <c r="GX121" s="7"/>
      <c r="GY121" s="7"/>
      <c r="GZ121" s="7"/>
      <c r="HA121" s="7"/>
      <c r="HB121" s="7"/>
      <c r="HC121" s="7"/>
      <c r="HD121" s="7"/>
      <c r="HE121" s="7"/>
      <c r="HF121" s="7"/>
      <c r="HG121" s="7"/>
      <c r="HH121" s="7"/>
      <c r="HI121" s="7"/>
      <c r="HJ121" s="7"/>
      <c r="HK121" s="7"/>
      <c r="HL121" s="7"/>
      <c r="HM121" s="7"/>
      <c r="HN121" s="7"/>
      <c r="HO121" s="7"/>
      <c r="HP121" s="7"/>
      <c r="HQ121" s="7"/>
      <c r="HR121" s="7"/>
      <c r="HS121" s="7"/>
      <c r="HT121" s="7"/>
      <c r="HU121" s="7"/>
      <c r="HV121" s="7"/>
      <c r="HW121" s="7"/>
      <c r="HX121" s="7"/>
      <c r="HY121" s="7"/>
    </row>
    <row r="122" spans="1:233">
      <c r="A122" s="56" t="s">
        <v>164</v>
      </c>
      <c r="B122" s="56" t="s">
        <v>165</v>
      </c>
      <c r="C122" s="56" t="s">
        <v>28</v>
      </c>
      <c r="D122" s="60">
        <v>117758</v>
      </c>
      <c r="E122" s="63" t="s">
        <v>22</v>
      </c>
      <c r="F122" s="66" t="s">
        <v>93</v>
      </c>
      <c r="G122" s="58" t="s">
        <v>97</v>
      </c>
      <c r="H122" s="59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7"/>
      <c r="BW122" s="7"/>
      <c r="BX122" s="7"/>
      <c r="BY122" s="7"/>
      <c r="BZ122" s="7"/>
      <c r="CA122" s="7"/>
      <c r="CB122" s="7"/>
      <c r="CC122" s="7"/>
      <c r="CD122" s="7"/>
      <c r="CE122" s="7"/>
      <c r="CF122" s="7"/>
      <c r="CG122" s="7"/>
      <c r="CH122" s="7"/>
      <c r="CI122" s="7"/>
      <c r="CJ122" s="7"/>
      <c r="CK122" s="7"/>
      <c r="CL122" s="7"/>
      <c r="CM122" s="7"/>
      <c r="CN122" s="7"/>
      <c r="CO122" s="7"/>
      <c r="CP122" s="7"/>
      <c r="CQ122" s="7"/>
      <c r="CR122" s="7"/>
      <c r="CS122" s="7"/>
      <c r="CT122" s="7"/>
      <c r="CU122" s="7"/>
      <c r="CV122" s="7"/>
      <c r="CW122" s="7"/>
      <c r="CX122" s="7"/>
      <c r="CY122" s="7"/>
      <c r="CZ122" s="7"/>
      <c r="DA122" s="7"/>
      <c r="DB122" s="7"/>
      <c r="DC122" s="7"/>
      <c r="DD122" s="7"/>
      <c r="DE122" s="7"/>
      <c r="DF122" s="7"/>
      <c r="DG122" s="7"/>
      <c r="DH122" s="7"/>
      <c r="DI122" s="7"/>
      <c r="DJ122" s="7"/>
      <c r="DK122" s="7"/>
      <c r="DL122" s="7"/>
      <c r="DM122" s="7"/>
      <c r="DN122" s="7"/>
      <c r="DO122" s="7"/>
      <c r="DP122" s="7"/>
      <c r="DQ122" s="7"/>
      <c r="DR122" s="7"/>
      <c r="DS122" s="7"/>
      <c r="DT122" s="7"/>
      <c r="DU122" s="7"/>
      <c r="DV122" s="7"/>
      <c r="DW122" s="7"/>
      <c r="DX122" s="7"/>
      <c r="DY122" s="7"/>
      <c r="DZ122" s="7"/>
      <c r="EA122" s="7"/>
      <c r="EB122" s="7"/>
      <c r="EC122" s="7"/>
      <c r="ED122" s="7"/>
      <c r="EE122" s="7"/>
      <c r="EF122" s="7"/>
      <c r="EG122" s="7"/>
      <c r="EH122" s="7"/>
      <c r="EI122" s="7"/>
      <c r="EJ122" s="7"/>
      <c r="EK122" s="7"/>
      <c r="EL122" s="7"/>
      <c r="EM122" s="7"/>
      <c r="EN122" s="7"/>
      <c r="EO122" s="7"/>
      <c r="EP122" s="7"/>
      <c r="EQ122" s="7"/>
      <c r="ER122" s="7"/>
      <c r="ES122" s="7"/>
      <c r="ET122" s="7"/>
      <c r="EU122" s="7"/>
      <c r="EV122" s="7"/>
      <c r="EW122" s="7"/>
      <c r="EX122" s="7"/>
      <c r="EY122" s="7"/>
      <c r="EZ122" s="7"/>
      <c r="FA122" s="7"/>
      <c r="FB122" s="7"/>
      <c r="FC122" s="7"/>
      <c r="FD122" s="7"/>
      <c r="FE122" s="7"/>
      <c r="FF122" s="7"/>
      <c r="FG122" s="7"/>
      <c r="FH122" s="7"/>
      <c r="FI122" s="7"/>
      <c r="FJ122" s="7"/>
      <c r="FK122" s="7"/>
      <c r="FL122" s="7"/>
      <c r="FM122" s="7"/>
      <c r="FN122" s="7"/>
      <c r="FO122" s="7"/>
      <c r="FP122" s="7"/>
      <c r="FQ122" s="7"/>
      <c r="FR122" s="7"/>
      <c r="FS122" s="7"/>
      <c r="FT122" s="7"/>
      <c r="FU122" s="7"/>
      <c r="FV122" s="7"/>
      <c r="FW122" s="7"/>
      <c r="FX122" s="7"/>
      <c r="FY122" s="7"/>
      <c r="FZ122" s="7"/>
      <c r="GA122" s="7"/>
      <c r="GB122" s="7"/>
      <c r="GC122" s="7"/>
      <c r="GD122" s="7"/>
      <c r="GE122" s="7"/>
      <c r="GF122" s="7"/>
      <c r="GG122" s="7"/>
      <c r="GH122" s="7"/>
      <c r="GI122" s="7"/>
      <c r="GJ122" s="7"/>
      <c r="GK122" s="7"/>
      <c r="GL122" s="7"/>
      <c r="GM122" s="7"/>
      <c r="GN122" s="7"/>
      <c r="GO122" s="7"/>
      <c r="GP122" s="7"/>
      <c r="GQ122" s="7"/>
      <c r="GR122" s="7"/>
      <c r="GS122" s="7"/>
      <c r="GT122" s="7"/>
      <c r="GU122" s="7"/>
      <c r="GV122" s="7"/>
      <c r="GW122" s="7"/>
      <c r="GX122" s="7"/>
      <c r="GY122" s="7"/>
      <c r="GZ122" s="7"/>
      <c r="HA122" s="7"/>
      <c r="HB122" s="7"/>
      <c r="HC122" s="7"/>
      <c r="HD122" s="7"/>
      <c r="HE122" s="7"/>
      <c r="HF122" s="7"/>
      <c r="HG122" s="7"/>
      <c r="HH122" s="7"/>
      <c r="HI122" s="7"/>
      <c r="HJ122" s="7"/>
      <c r="HK122" s="7"/>
      <c r="HL122" s="7"/>
      <c r="HM122" s="7"/>
      <c r="HN122" s="7"/>
      <c r="HO122" s="7"/>
      <c r="HP122" s="7"/>
      <c r="HQ122" s="7"/>
      <c r="HR122" s="7"/>
      <c r="HS122" s="7"/>
      <c r="HT122" s="7"/>
      <c r="HU122" s="7"/>
      <c r="HV122" s="7"/>
      <c r="HW122" s="7"/>
      <c r="HX122" s="7"/>
      <c r="HY122" s="7"/>
    </row>
    <row r="123" spans="1:233">
      <c r="A123" s="56" t="s">
        <v>164</v>
      </c>
      <c r="B123" s="56" t="s">
        <v>165</v>
      </c>
      <c r="C123" s="56" t="s">
        <v>29</v>
      </c>
      <c r="D123" s="60">
        <v>4221906</v>
      </c>
      <c r="E123" s="63" t="s">
        <v>19</v>
      </c>
      <c r="F123" s="66" t="s">
        <v>93</v>
      </c>
      <c r="G123" s="58" t="s">
        <v>98</v>
      </c>
      <c r="H123" s="59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7"/>
      <c r="CD123" s="7"/>
      <c r="CE123" s="7"/>
      <c r="CF123" s="7"/>
      <c r="CG123" s="7"/>
      <c r="CH123" s="7"/>
      <c r="CI123" s="7"/>
      <c r="CJ123" s="7"/>
      <c r="CK123" s="7"/>
      <c r="CL123" s="7"/>
      <c r="CM123" s="7"/>
      <c r="CN123" s="7"/>
      <c r="CO123" s="7"/>
      <c r="CP123" s="7"/>
      <c r="CQ123" s="7"/>
      <c r="CR123" s="7"/>
      <c r="CS123" s="7"/>
      <c r="CT123" s="7"/>
      <c r="CU123" s="7"/>
      <c r="CV123" s="7"/>
      <c r="CW123" s="7"/>
      <c r="CX123" s="7"/>
      <c r="CY123" s="7"/>
      <c r="CZ123" s="7"/>
      <c r="DA123" s="7"/>
      <c r="DB123" s="7"/>
      <c r="DC123" s="7"/>
      <c r="DD123" s="7"/>
      <c r="DE123" s="7"/>
      <c r="DF123" s="7"/>
      <c r="DG123" s="7"/>
      <c r="DH123" s="7"/>
      <c r="DI123" s="7"/>
      <c r="DJ123" s="7"/>
      <c r="DK123" s="7"/>
      <c r="DL123" s="7"/>
      <c r="DM123" s="7"/>
      <c r="DN123" s="7"/>
      <c r="DO123" s="7"/>
      <c r="DP123" s="7"/>
      <c r="DQ123" s="7"/>
      <c r="DR123" s="7"/>
      <c r="DS123" s="7"/>
      <c r="DT123" s="7"/>
      <c r="DU123" s="7"/>
      <c r="DV123" s="7"/>
      <c r="DW123" s="7"/>
      <c r="DX123" s="7"/>
      <c r="DY123" s="7"/>
      <c r="DZ123" s="7"/>
      <c r="EA123" s="7"/>
      <c r="EB123" s="7"/>
      <c r="EC123" s="7"/>
      <c r="ED123" s="7"/>
      <c r="EE123" s="7"/>
      <c r="EF123" s="7"/>
      <c r="EG123" s="7"/>
      <c r="EH123" s="7"/>
      <c r="EI123" s="7"/>
      <c r="EJ123" s="7"/>
      <c r="EK123" s="7"/>
      <c r="EL123" s="7"/>
      <c r="EM123" s="7"/>
      <c r="EN123" s="7"/>
      <c r="EO123" s="7"/>
      <c r="EP123" s="7"/>
      <c r="EQ123" s="7"/>
      <c r="ER123" s="7"/>
      <c r="ES123" s="7"/>
      <c r="ET123" s="7"/>
      <c r="EU123" s="7"/>
      <c r="EV123" s="7"/>
      <c r="EW123" s="7"/>
      <c r="EX123" s="7"/>
      <c r="EY123" s="7"/>
      <c r="EZ123" s="7"/>
      <c r="FA123" s="7"/>
      <c r="FB123" s="7"/>
      <c r="FC123" s="7"/>
      <c r="FD123" s="7"/>
      <c r="FE123" s="7"/>
      <c r="FF123" s="7"/>
      <c r="FG123" s="7"/>
      <c r="FH123" s="7"/>
      <c r="FI123" s="7"/>
      <c r="FJ123" s="7"/>
      <c r="FK123" s="7"/>
      <c r="FL123" s="7"/>
      <c r="FM123" s="7"/>
      <c r="FN123" s="7"/>
      <c r="FO123" s="7"/>
      <c r="FP123" s="7"/>
      <c r="FQ123" s="7"/>
      <c r="FR123" s="7"/>
      <c r="FS123" s="7"/>
      <c r="FT123" s="7"/>
      <c r="FU123" s="7"/>
      <c r="FV123" s="7"/>
      <c r="FW123" s="7"/>
      <c r="FX123" s="7"/>
      <c r="FY123" s="7"/>
      <c r="FZ123" s="7"/>
      <c r="GA123" s="7"/>
      <c r="GB123" s="7"/>
      <c r="GC123" s="7"/>
      <c r="GD123" s="7"/>
      <c r="GE123" s="7"/>
      <c r="GF123" s="7"/>
      <c r="GG123" s="7"/>
      <c r="GH123" s="7"/>
      <c r="GI123" s="7"/>
      <c r="GJ123" s="7"/>
      <c r="GK123" s="7"/>
      <c r="GL123" s="7"/>
      <c r="GM123" s="7"/>
      <c r="GN123" s="7"/>
      <c r="GO123" s="7"/>
      <c r="GP123" s="7"/>
      <c r="GQ123" s="7"/>
      <c r="GR123" s="7"/>
      <c r="GS123" s="7"/>
      <c r="GT123" s="7"/>
      <c r="GU123" s="7"/>
      <c r="GV123" s="7"/>
      <c r="GW123" s="7"/>
      <c r="GX123" s="7"/>
      <c r="GY123" s="7"/>
      <c r="GZ123" s="7"/>
      <c r="HA123" s="7"/>
      <c r="HB123" s="7"/>
      <c r="HC123" s="7"/>
      <c r="HD123" s="7"/>
      <c r="HE123" s="7"/>
      <c r="HF123" s="7"/>
      <c r="HG123" s="7"/>
      <c r="HH123" s="7"/>
      <c r="HI123" s="7"/>
      <c r="HJ123" s="7"/>
      <c r="HK123" s="7"/>
      <c r="HL123" s="7"/>
      <c r="HM123" s="7"/>
      <c r="HN123" s="7"/>
      <c r="HO123" s="7"/>
      <c r="HP123" s="7"/>
      <c r="HQ123" s="7"/>
      <c r="HR123" s="7"/>
      <c r="HS123" s="7"/>
      <c r="HT123" s="7"/>
      <c r="HU123" s="7"/>
      <c r="HV123" s="7"/>
      <c r="HW123" s="7"/>
      <c r="HX123" s="7"/>
      <c r="HY123" s="7"/>
    </row>
    <row r="124" spans="1:233">
      <c r="A124" s="56" t="s">
        <v>166</v>
      </c>
      <c r="B124" s="56" t="s">
        <v>167</v>
      </c>
      <c r="C124" s="56" t="s">
        <v>28</v>
      </c>
      <c r="D124" s="60">
        <v>371739.18</v>
      </c>
      <c r="E124" s="63" t="s">
        <v>22</v>
      </c>
      <c r="F124" s="66" t="s">
        <v>14</v>
      </c>
      <c r="G124" s="58" t="s">
        <v>145</v>
      </c>
      <c r="H124" s="59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7"/>
      <c r="BV124" s="7"/>
      <c r="BW124" s="7"/>
      <c r="BX124" s="7"/>
      <c r="BY124" s="7"/>
      <c r="BZ124" s="7"/>
      <c r="CA124" s="7"/>
      <c r="CB124" s="7"/>
      <c r="CC124" s="7"/>
      <c r="CD124" s="7"/>
      <c r="CE124" s="7"/>
      <c r="CF124" s="7"/>
      <c r="CG124" s="7"/>
      <c r="CH124" s="7"/>
      <c r="CI124" s="7"/>
      <c r="CJ124" s="7"/>
      <c r="CK124" s="7"/>
      <c r="CL124" s="7"/>
      <c r="CM124" s="7"/>
      <c r="CN124" s="7"/>
      <c r="CO124" s="7"/>
      <c r="CP124" s="7"/>
      <c r="CQ124" s="7"/>
      <c r="CR124" s="7"/>
      <c r="CS124" s="7"/>
      <c r="CT124" s="7"/>
      <c r="CU124" s="7"/>
      <c r="CV124" s="7"/>
      <c r="CW124" s="7"/>
      <c r="CX124" s="7"/>
      <c r="CY124" s="7"/>
      <c r="CZ124" s="7"/>
      <c r="DA124" s="7"/>
      <c r="DB124" s="7"/>
      <c r="DC124" s="7"/>
      <c r="DD124" s="7"/>
      <c r="DE124" s="7"/>
      <c r="DF124" s="7"/>
      <c r="DG124" s="7"/>
      <c r="DH124" s="7"/>
      <c r="DI124" s="7"/>
      <c r="DJ124" s="7"/>
      <c r="DK124" s="7"/>
      <c r="DL124" s="7"/>
      <c r="DM124" s="7"/>
      <c r="DN124" s="7"/>
      <c r="DO124" s="7"/>
      <c r="DP124" s="7"/>
      <c r="DQ124" s="7"/>
      <c r="DR124" s="7"/>
      <c r="DS124" s="7"/>
      <c r="DT124" s="7"/>
      <c r="DU124" s="7"/>
      <c r="DV124" s="7"/>
      <c r="DW124" s="7"/>
      <c r="DX124" s="7"/>
      <c r="DY124" s="7"/>
      <c r="DZ124" s="7"/>
      <c r="EA124" s="7"/>
      <c r="EB124" s="7"/>
      <c r="EC124" s="7"/>
      <c r="ED124" s="7"/>
      <c r="EE124" s="7"/>
      <c r="EF124" s="7"/>
      <c r="EG124" s="7"/>
      <c r="EH124" s="7"/>
      <c r="EI124" s="7"/>
      <c r="EJ124" s="7"/>
      <c r="EK124" s="7"/>
      <c r="EL124" s="7"/>
      <c r="EM124" s="7"/>
      <c r="EN124" s="7"/>
      <c r="EO124" s="7"/>
      <c r="EP124" s="7"/>
      <c r="EQ124" s="7"/>
      <c r="ER124" s="7"/>
      <c r="ES124" s="7"/>
      <c r="ET124" s="7"/>
      <c r="EU124" s="7"/>
      <c r="EV124" s="7"/>
      <c r="EW124" s="7"/>
      <c r="EX124" s="7"/>
      <c r="EY124" s="7"/>
      <c r="EZ124" s="7"/>
      <c r="FA124" s="7"/>
      <c r="FB124" s="7"/>
      <c r="FC124" s="7"/>
      <c r="FD124" s="7"/>
      <c r="FE124" s="7"/>
      <c r="FF124" s="7"/>
      <c r="FG124" s="7"/>
      <c r="FH124" s="7"/>
      <c r="FI124" s="7"/>
      <c r="FJ124" s="7"/>
      <c r="FK124" s="7"/>
      <c r="FL124" s="7"/>
      <c r="FM124" s="7"/>
      <c r="FN124" s="7"/>
      <c r="FO124" s="7"/>
      <c r="FP124" s="7"/>
      <c r="FQ124" s="7"/>
      <c r="FR124" s="7"/>
      <c r="FS124" s="7"/>
      <c r="FT124" s="7"/>
      <c r="FU124" s="7"/>
      <c r="FV124" s="7"/>
      <c r="FW124" s="7"/>
      <c r="FX124" s="7"/>
      <c r="FY124" s="7"/>
      <c r="FZ124" s="7"/>
      <c r="GA124" s="7"/>
      <c r="GB124" s="7"/>
      <c r="GC124" s="7"/>
      <c r="GD124" s="7"/>
      <c r="GE124" s="7"/>
      <c r="GF124" s="7"/>
      <c r="GG124" s="7"/>
      <c r="GH124" s="7"/>
      <c r="GI124" s="7"/>
      <c r="GJ124" s="7"/>
      <c r="GK124" s="7"/>
      <c r="GL124" s="7"/>
      <c r="GM124" s="7"/>
      <c r="GN124" s="7"/>
      <c r="GO124" s="7"/>
      <c r="GP124" s="7"/>
      <c r="GQ124" s="7"/>
      <c r="GR124" s="7"/>
      <c r="GS124" s="7"/>
      <c r="GT124" s="7"/>
      <c r="GU124" s="7"/>
      <c r="GV124" s="7"/>
      <c r="GW124" s="7"/>
      <c r="GX124" s="7"/>
      <c r="GY124" s="7"/>
      <c r="GZ124" s="7"/>
      <c r="HA124" s="7"/>
      <c r="HB124" s="7"/>
      <c r="HC124" s="7"/>
      <c r="HD124" s="7"/>
      <c r="HE124" s="7"/>
      <c r="HF124" s="7"/>
      <c r="HG124" s="7"/>
      <c r="HH124" s="7"/>
      <c r="HI124" s="7"/>
      <c r="HJ124" s="7"/>
      <c r="HK124" s="7"/>
      <c r="HL124" s="7"/>
      <c r="HM124" s="7"/>
      <c r="HN124" s="7"/>
      <c r="HO124" s="7"/>
      <c r="HP124" s="7"/>
      <c r="HQ124" s="7"/>
      <c r="HR124" s="7"/>
      <c r="HS124" s="7"/>
      <c r="HT124" s="7"/>
      <c r="HU124" s="7"/>
      <c r="HV124" s="7"/>
      <c r="HW124" s="7"/>
      <c r="HX124" s="7"/>
      <c r="HY124" s="7"/>
    </row>
    <row r="125" spans="1:233">
      <c r="A125" s="56" t="s">
        <v>166</v>
      </c>
      <c r="B125" s="56" t="s">
        <v>167</v>
      </c>
      <c r="C125" s="56" t="s">
        <v>29</v>
      </c>
      <c r="D125" s="60">
        <v>979704.55</v>
      </c>
      <c r="E125" s="63" t="s">
        <v>19</v>
      </c>
      <c r="F125" s="66" t="s">
        <v>14</v>
      </c>
      <c r="G125" s="58" t="s">
        <v>101</v>
      </c>
      <c r="H125" s="59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/>
      <c r="CQ125" s="7"/>
      <c r="CR125" s="7"/>
      <c r="CS125" s="7"/>
      <c r="CT125" s="7"/>
      <c r="CU125" s="7"/>
      <c r="CV125" s="7"/>
      <c r="CW125" s="7"/>
      <c r="CX125" s="7"/>
      <c r="CY125" s="7"/>
      <c r="CZ125" s="7"/>
      <c r="DA125" s="7"/>
      <c r="DB125" s="7"/>
      <c r="DC125" s="7"/>
      <c r="DD125" s="7"/>
      <c r="DE125" s="7"/>
      <c r="DF125" s="7"/>
      <c r="DG125" s="7"/>
      <c r="DH125" s="7"/>
      <c r="DI125" s="7"/>
      <c r="DJ125" s="7"/>
      <c r="DK125" s="7"/>
      <c r="DL125" s="7"/>
      <c r="DM125" s="7"/>
      <c r="DN125" s="7"/>
      <c r="DO125" s="7"/>
      <c r="DP125" s="7"/>
      <c r="DQ125" s="7"/>
      <c r="DR125" s="7"/>
      <c r="DS125" s="7"/>
      <c r="DT125" s="7"/>
      <c r="DU125" s="7"/>
      <c r="DV125" s="7"/>
      <c r="DW125" s="7"/>
      <c r="DX125" s="7"/>
      <c r="DY125" s="7"/>
      <c r="DZ125" s="7"/>
      <c r="EA125" s="7"/>
      <c r="EB125" s="7"/>
      <c r="EC125" s="7"/>
      <c r="ED125" s="7"/>
      <c r="EE125" s="7"/>
      <c r="EF125" s="7"/>
      <c r="EG125" s="7"/>
      <c r="EH125" s="7"/>
      <c r="EI125" s="7"/>
      <c r="EJ125" s="7"/>
      <c r="EK125" s="7"/>
      <c r="EL125" s="7"/>
      <c r="EM125" s="7"/>
      <c r="EN125" s="7"/>
      <c r="EO125" s="7"/>
      <c r="EP125" s="7"/>
      <c r="EQ125" s="7"/>
      <c r="ER125" s="7"/>
      <c r="ES125" s="7"/>
      <c r="ET125" s="7"/>
      <c r="EU125" s="7"/>
      <c r="EV125" s="7"/>
      <c r="EW125" s="7"/>
      <c r="EX125" s="7"/>
      <c r="EY125" s="7"/>
      <c r="EZ125" s="7"/>
      <c r="FA125" s="7"/>
      <c r="FB125" s="7"/>
      <c r="FC125" s="7"/>
      <c r="FD125" s="7"/>
      <c r="FE125" s="7"/>
      <c r="FF125" s="7"/>
      <c r="FG125" s="7"/>
      <c r="FH125" s="7"/>
      <c r="FI125" s="7"/>
      <c r="FJ125" s="7"/>
      <c r="FK125" s="7"/>
      <c r="FL125" s="7"/>
      <c r="FM125" s="7"/>
      <c r="FN125" s="7"/>
      <c r="FO125" s="7"/>
      <c r="FP125" s="7"/>
      <c r="FQ125" s="7"/>
      <c r="FR125" s="7"/>
      <c r="FS125" s="7"/>
      <c r="FT125" s="7"/>
      <c r="FU125" s="7"/>
      <c r="FV125" s="7"/>
      <c r="FW125" s="7"/>
      <c r="FX125" s="7"/>
      <c r="FY125" s="7"/>
      <c r="FZ125" s="7"/>
      <c r="GA125" s="7"/>
      <c r="GB125" s="7"/>
      <c r="GC125" s="7"/>
      <c r="GD125" s="7"/>
      <c r="GE125" s="7"/>
      <c r="GF125" s="7"/>
      <c r="GG125" s="7"/>
      <c r="GH125" s="7"/>
      <c r="GI125" s="7"/>
      <c r="GJ125" s="7"/>
      <c r="GK125" s="7"/>
      <c r="GL125" s="7"/>
      <c r="GM125" s="7"/>
      <c r="GN125" s="7"/>
      <c r="GO125" s="7"/>
      <c r="GP125" s="7"/>
      <c r="GQ125" s="7"/>
      <c r="GR125" s="7"/>
      <c r="GS125" s="7"/>
      <c r="GT125" s="7"/>
      <c r="GU125" s="7"/>
      <c r="GV125" s="7"/>
      <c r="GW125" s="7"/>
      <c r="GX125" s="7"/>
      <c r="GY125" s="7"/>
      <c r="GZ125" s="7"/>
      <c r="HA125" s="7"/>
      <c r="HB125" s="7"/>
      <c r="HC125" s="7"/>
      <c r="HD125" s="7"/>
      <c r="HE125" s="7"/>
      <c r="HF125" s="7"/>
      <c r="HG125" s="7"/>
      <c r="HH125" s="7"/>
      <c r="HI125" s="7"/>
      <c r="HJ125" s="7"/>
      <c r="HK125" s="7"/>
      <c r="HL125" s="7"/>
      <c r="HM125" s="7"/>
      <c r="HN125" s="7"/>
      <c r="HO125" s="7"/>
      <c r="HP125" s="7"/>
      <c r="HQ125" s="7"/>
      <c r="HR125" s="7"/>
      <c r="HS125" s="7"/>
      <c r="HT125" s="7"/>
      <c r="HU125" s="7"/>
      <c r="HV125" s="7"/>
      <c r="HW125" s="7"/>
      <c r="HX125" s="7"/>
      <c r="HY125" s="7"/>
    </row>
    <row r="126" spans="1:233">
      <c r="A126" s="56" t="s">
        <v>168</v>
      </c>
      <c r="B126" s="56" t="s">
        <v>141</v>
      </c>
      <c r="C126" s="56" t="s">
        <v>28</v>
      </c>
      <c r="D126" s="60">
        <v>10216.41</v>
      </c>
      <c r="E126" s="63" t="s">
        <v>22</v>
      </c>
      <c r="F126" s="66" t="s">
        <v>14</v>
      </c>
      <c r="G126" s="58" t="s">
        <v>145</v>
      </c>
      <c r="H126" s="59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7"/>
      <c r="CD126" s="7"/>
      <c r="CE126" s="7"/>
      <c r="CF126" s="7"/>
      <c r="CG126" s="7"/>
      <c r="CH126" s="7"/>
      <c r="CI126" s="7"/>
      <c r="CJ126" s="7"/>
      <c r="CK126" s="7"/>
      <c r="CL126" s="7"/>
      <c r="CM126" s="7"/>
      <c r="CN126" s="7"/>
      <c r="CO126" s="7"/>
      <c r="CP126" s="7"/>
      <c r="CQ126" s="7"/>
      <c r="CR126" s="7"/>
      <c r="CS126" s="7"/>
      <c r="CT126" s="7"/>
      <c r="CU126" s="7"/>
      <c r="CV126" s="7"/>
      <c r="CW126" s="7"/>
      <c r="CX126" s="7"/>
      <c r="CY126" s="7"/>
      <c r="CZ126" s="7"/>
      <c r="DA126" s="7"/>
      <c r="DB126" s="7"/>
      <c r="DC126" s="7"/>
      <c r="DD126" s="7"/>
      <c r="DE126" s="7"/>
      <c r="DF126" s="7"/>
      <c r="DG126" s="7"/>
      <c r="DH126" s="7"/>
      <c r="DI126" s="7"/>
      <c r="DJ126" s="7"/>
      <c r="DK126" s="7"/>
      <c r="DL126" s="7"/>
      <c r="DM126" s="7"/>
      <c r="DN126" s="7"/>
      <c r="DO126" s="7"/>
      <c r="DP126" s="7"/>
      <c r="DQ126" s="7"/>
      <c r="DR126" s="7"/>
      <c r="DS126" s="7"/>
      <c r="DT126" s="7"/>
      <c r="DU126" s="7"/>
      <c r="DV126" s="7"/>
      <c r="DW126" s="7"/>
      <c r="DX126" s="7"/>
      <c r="DY126" s="7"/>
      <c r="DZ126" s="7"/>
      <c r="EA126" s="7"/>
      <c r="EB126" s="7"/>
      <c r="EC126" s="7"/>
      <c r="ED126" s="7"/>
      <c r="EE126" s="7"/>
      <c r="EF126" s="7"/>
      <c r="EG126" s="7"/>
      <c r="EH126" s="7"/>
      <c r="EI126" s="7"/>
      <c r="EJ126" s="7"/>
      <c r="EK126" s="7"/>
      <c r="EL126" s="7"/>
      <c r="EM126" s="7"/>
      <c r="EN126" s="7"/>
      <c r="EO126" s="7"/>
      <c r="EP126" s="7"/>
      <c r="EQ126" s="7"/>
      <c r="ER126" s="7"/>
      <c r="ES126" s="7"/>
      <c r="ET126" s="7"/>
      <c r="EU126" s="7"/>
      <c r="EV126" s="7"/>
      <c r="EW126" s="7"/>
      <c r="EX126" s="7"/>
      <c r="EY126" s="7"/>
      <c r="EZ126" s="7"/>
      <c r="FA126" s="7"/>
      <c r="FB126" s="7"/>
      <c r="FC126" s="7"/>
      <c r="FD126" s="7"/>
      <c r="FE126" s="7"/>
      <c r="FF126" s="7"/>
      <c r="FG126" s="7"/>
      <c r="FH126" s="7"/>
      <c r="FI126" s="7"/>
      <c r="FJ126" s="7"/>
      <c r="FK126" s="7"/>
      <c r="FL126" s="7"/>
      <c r="FM126" s="7"/>
      <c r="FN126" s="7"/>
      <c r="FO126" s="7"/>
      <c r="FP126" s="7"/>
      <c r="FQ126" s="7"/>
      <c r="FR126" s="7"/>
      <c r="FS126" s="7"/>
      <c r="FT126" s="7"/>
      <c r="FU126" s="7"/>
      <c r="FV126" s="7"/>
      <c r="FW126" s="7"/>
      <c r="FX126" s="7"/>
      <c r="FY126" s="7"/>
      <c r="FZ126" s="7"/>
      <c r="GA126" s="7"/>
      <c r="GB126" s="7"/>
      <c r="GC126" s="7"/>
      <c r="GD126" s="7"/>
      <c r="GE126" s="7"/>
      <c r="GF126" s="7"/>
      <c r="GG126" s="7"/>
      <c r="GH126" s="7"/>
      <c r="GI126" s="7"/>
      <c r="GJ126" s="7"/>
      <c r="GK126" s="7"/>
      <c r="GL126" s="7"/>
      <c r="GM126" s="7"/>
      <c r="GN126" s="7"/>
      <c r="GO126" s="7"/>
      <c r="GP126" s="7"/>
      <c r="GQ126" s="7"/>
      <c r="GR126" s="7"/>
      <c r="GS126" s="7"/>
      <c r="GT126" s="7"/>
      <c r="GU126" s="7"/>
      <c r="GV126" s="7"/>
      <c r="GW126" s="7"/>
      <c r="GX126" s="7"/>
      <c r="GY126" s="7"/>
      <c r="GZ126" s="7"/>
      <c r="HA126" s="7"/>
      <c r="HB126" s="7"/>
      <c r="HC126" s="7"/>
      <c r="HD126" s="7"/>
      <c r="HE126" s="7"/>
      <c r="HF126" s="7"/>
      <c r="HG126" s="7"/>
      <c r="HH126" s="7"/>
      <c r="HI126" s="7"/>
      <c r="HJ126" s="7"/>
      <c r="HK126" s="7"/>
      <c r="HL126" s="7"/>
      <c r="HM126" s="7"/>
      <c r="HN126" s="7"/>
      <c r="HO126" s="7"/>
      <c r="HP126" s="7"/>
      <c r="HQ126" s="7"/>
      <c r="HR126" s="7"/>
      <c r="HS126" s="7"/>
      <c r="HT126" s="7"/>
      <c r="HU126" s="7"/>
      <c r="HV126" s="7"/>
      <c r="HW126" s="7"/>
      <c r="HX126" s="7"/>
      <c r="HY126" s="7"/>
    </row>
    <row r="127" spans="1:233">
      <c r="A127" s="56" t="s">
        <v>168</v>
      </c>
      <c r="B127" s="56" t="s">
        <v>141</v>
      </c>
      <c r="C127" s="56" t="s">
        <v>29</v>
      </c>
      <c r="D127" s="60">
        <v>1361703.56</v>
      </c>
      <c r="E127" s="63" t="s">
        <v>19</v>
      </c>
      <c r="F127" s="66" t="s">
        <v>14</v>
      </c>
      <c r="G127" s="58" t="s">
        <v>101</v>
      </c>
      <c r="H127" s="59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7"/>
      <c r="CD127" s="7"/>
      <c r="CE127" s="7"/>
      <c r="CF127" s="7"/>
      <c r="CG127" s="7"/>
      <c r="CH127" s="7"/>
      <c r="CI127" s="7"/>
      <c r="CJ127" s="7"/>
      <c r="CK127" s="7"/>
      <c r="CL127" s="7"/>
      <c r="CM127" s="7"/>
      <c r="CN127" s="7"/>
      <c r="CO127" s="7"/>
      <c r="CP127" s="7"/>
      <c r="CQ127" s="7"/>
      <c r="CR127" s="7"/>
      <c r="CS127" s="7"/>
      <c r="CT127" s="7"/>
      <c r="CU127" s="7"/>
      <c r="CV127" s="7"/>
      <c r="CW127" s="7"/>
      <c r="CX127" s="7"/>
      <c r="CY127" s="7"/>
      <c r="CZ127" s="7"/>
      <c r="DA127" s="7"/>
      <c r="DB127" s="7"/>
      <c r="DC127" s="7"/>
      <c r="DD127" s="7"/>
      <c r="DE127" s="7"/>
      <c r="DF127" s="7"/>
      <c r="DG127" s="7"/>
      <c r="DH127" s="7"/>
      <c r="DI127" s="7"/>
      <c r="DJ127" s="7"/>
      <c r="DK127" s="7"/>
      <c r="DL127" s="7"/>
      <c r="DM127" s="7"/>
      <c r="DN127" s="7"/>
      <c r="DO127" s="7"/>
      <c r="DP127" s="7"/>
      <c r="DQ127" s="7"/>
      <c r="DR127" s="7"/>
      <c r="DS127" s="7"/>
      <c r="DT127" s="7"/>
      <c r="DU127" s="7"/>
      <c r="DV127" s="7"/>
      <c r="DW127" s="7"/>
      <c r="DX127" s="7"/>
      <c r="DY127" s="7"/>
      <c r="DZ127" s="7"/>
      <c r="EA127" s="7"/>
      <c r="EB127" s="7"/>
      <c r="EC127" s="7"/>
      <c r="ED127" s="7"/>
      <c r="EE127" s="7"/>
      <c r="EF127" s="7"/>
      <c r="EG127" s="7"/>
      <c r="EH127" s="7"/>
      <c r="EI127" s="7"/>
      <c r="EJ127" s="7"/>
      <c r="EK127" s="7"/>
      <c r="EL127" s="7"/>
      <c r="EM127" s="7"/>
      <c r="EN127" s="7"/>
      <c r="EO127" s="7"/>
      <c r="EP127" s="7"/>
      <c r="EQ127" s="7"/>
      <c r="ER127" s="7"/>
      <c r="ES127" s="7"/>
      <c r="ET127" s="7"/>
      <c r="EU127" s="7"/>
      <c r="EV127" s="7"/>
      <c r="EW127" s="7"/>
      <c r="EX127" s="7"/>
      <c r="EY127" s="7"/>
      <c r="EZ127" s="7"/>
      <c r="FA127" s="7"/>
      <c r="FB127" s="7"/>
      <c r="FC127" s="7"/>
      <c r="FD127" s="7"/>
      <c r="FE127" s="7"/>
      <c r="FF127" s="7"/>
      <c r="FG127" s="7"/>
      <c r="FH127" s="7"/>
      <c r="FI127" s="7"/>
      <c r="FJ127" s="7"/>
      <c r="FK127" s="7"/>
      <c r="FL127" s="7"/>
      <c r="FM127" s="7"/>
      <c r="FN127" s="7"/>
      <c r="FO127" s="7"/>
      <c r="FP127" s="7"/>
      <c r="FQ127" s="7"/>
      <c r="FR127" s="7"/>
      <c r="FS127" s="7"/>
      <c r="FT127" s="7"/>
      <c r="FU127" s="7"/>
      <c r="FV127" s="7"/>
      <c r="FW127" s="7"/>
      <c r="FX127" s="7"/>
      <c r="FY127" s="7"/>
      <c r="FZ127" s="7"/>
      <c r="GA127" s="7"/>
      <c r="GB127" s="7"/>
      <c r="GC127" s="7"/>
      <c r="GD127" s="7"/>
      <c r="GE127" s="7"/>
      <c r="GF127" s="7"/>
      <c r="GG127" s="7"/>
      <c r="GH127" s="7"/>
      <c r="GI127" s="7"/>
      <c r="GJ127" s="7"/>
      <c r="GK127" s="7"/>
      <c r="GL127" s="7"/>
      <c r="GM127" s="7"/>
      <c r="GN127" s="7"/>
      <c r="GO127" s="7"/>
      <c r="GP127" s="7"/>
      <c r="GQ127" s="7"/>
      <c r="GR127" s="7"/>
      <c r="GS127" s="7"/>
      <c r="GT127" s="7"/>
      <c r="GU127" s="7"/>
      <c r="GV127" s="7"/>
      <c r="GW127" s="7"/>
      <c r="GX127" s="7"/>
      <c r="GY127" s="7"/>
      <c r="GZ127" s="7"/>
      <c r="HA127" s="7"/>
      <c r="HB127" s="7"/>
      <c r="HC127" s="7"/>
      <c r="HD127" s="7"/>
      <c r="HE127" s="7"/>
      <c r="HF127" s="7"/>
      <c r="HG127" s="7"/>
      <c r="HH127" s="7"/>
      <c r="HI127" s="7"/>
      <c r="HJ127" s="7"/>
      <c r="HK127" s="7"/>
      <c r="HL127" s="7"/>
      <c r="HM127" s="7"/>
      <c r="HN127" s="7"/>
      <c r="HO127" s="7"/>
      <c r="HP127" s="7"/>
      <c r="HQ127" s="7"/>
      <c r="HR127" s="7"/>
      <c r="HS127" s="7"/>
      <c r="HT127" s="7"/>
      <c r="HU127" s="7"/>
      <c r="HV127" s="7"/>
      <c r="HW127" s="7"/>
      <c r="HX127" s="7"/>
      <c r="HY127" s="7"/>
    </row>
    <row r="128" spans="1:233">
      <c r="A128" s="56" t="s">
        <v>169</v>
      </c>
      <c r="B128" s="56" t="s">
        <v>170</v>
      </c>
      <c r="C128" s="56" t="s">
        <v>30</v>
      </c>
      <c r="D128" s="60">
        <v>19888</v>
      </c>
      <c r="E128" s="63" t="s">
        <v>18</v>
      </c>
      <c r="F128" s="66" t="s">
        <v>12</v>
      </c>
      <c r="G128" s="58" t="s">
        <v>171</v>
      </c>
      <c r="H128" s="59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7"/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  <c r="CO128" s="7"/>
      <c r="CP128" s="7"/>
      <c r="CQ128" s="7"/>
      <c r="CR128" s="7"/>
      <c r="CS128" s="7"/>
      <c r="CT128" s="7"/>
      <c r="CU128" s="7"/>
      <c r="CV128" s="7"/>
      <c r="CW128" s="7"/>
      <c r="CX128" s="7"/>
      <c r="CY128" s="7"/>
      <c r="CZ128" s="7"/>
      <c r="DA128" s="7"/>
      <c r="DB128" s="7"/>
      <c r="DC128" s="7"/>
      <c r="DD128" s="7"/>
      <c r="DE128" s="7"/>
      <c r="DF128" s="7"/>
      <c r="DG128" s="7"/>
      <c r="DH128" s="7"/>
      <c r="DI128" s="7"/>
      <c r="DJ128" s="7"/>
      <c r="DK128" s="7"/>
      <c r="DL128" s="7"/>
      <c r="DM128" s="7"/>
      <c r="DN128" s="7"/>
      <c r="DO128" s="7"/>
      <c r="DP128" s="7"/>
      <c r="DQ128" s="7"/>
      <c r="DR128" s="7"/>
      <c r="DS128" s="7"/>
      <c r="DT128" s="7"/>
      <c r="DU128" s="7"/>
      <c r="DV128" s="7"/>
      <c r="DW128" s="7"/>
      <c r="DX128" s="7"/>
      <c r="DY128" s="7"/>
      <c r="DZ128" s="7"/>
      <c r="EA128" s="7"/>
      <c r="EB128" s="7"/>
      <c r="EC128" s="7"/>
      <c r="ED128" s="7"/>
      <c r="EE128" s="7"/>
      <c r="EF128" s="7"/>
      <c r="EG128" s="7"/>
      <c r="EH128" s="7"/>
      <c r="EI128" s="7"/>
      <c r="EJ128" s="7"/>
      <c r="EK128" s="7"/>
      <c r="EL128" s="7"/>
      <c r="EM128" s="7"/>
      <c r="EN128" s="7"/>
      <c r="EO128" s="7"/>
      <c r="EP128" s="7"/>
      <c r="EQ128" s="7"/>
      <c r="ER128" s="7"/>
      <c r="ES128" s="7"/>
      <c r="ET128" s="7"/>
      <c r="EU128" s="7"/>
      <c r="EV128" s="7"/>
      <c r="EW128" s="7"/>
      <c r="EX128" s="7"/>
      <c r="EY128" s="7"/>
      <c r="EZ128" s="7"/>
      <c r="FA128" s="7"/>
      <c r="FB128" s="7"/>
      <c r="FC128" s="7"/>
      <c r="FD128" s="7"/>
      <c r="FE128" s="7"/>
      <c r="FF128" s="7"/>
      <c r="FG128" s="7"/>
      <c r="FH128" s="7"/>
      <c r="FI128" s="7"/>
      <c r="FJ128" s="7"/>
      <c r="FK128" s="7"/>
      <c r="FL128" s="7"/>
      <c r="FM128" s="7"/>
      <c r="FN128" s="7"/>
      <c r="FO128" s="7"/>
      <c r="FP128" s="7"/>
      <c r="FQ128" s="7"/>
      <c r="FR128" s="7"/>
      <c r="FS128" s="7"/>
      <c r="FT128" s="7"/>
      <c r="FU128" s="7"/>
      <c r="FV128" s="7"/>
      <c r="FW128" s="7"/>
      <c r="FX128" s="7"/>
      <c r="FY128" s="7"/>
      <c r="FZ128" s="7"/>
      <c r="GA128" s="7"/>
      <c r="GB128" s="7"/>
      <c r="GC128" s="7"/>
      <c r="GD128" s="7"/>
      <c r="GE128" s="7"/>
      <c r="GF128" s="7"/>
      <c r="GG128" s="7"/>
      <c r="GH128" s="7"/>
      <c r="GI128" s="7"/>
      <c r="GJ128" s="7"/>
      <c r="GK128" s="7"/>
      <c r="GL128" s="7"/>
      <c r="GM128" s="7"/>
      <c r="GN128" s="7"/>
      <c r="GO128" s="7"/>
      <c r="GP128" s="7"/>
      <c r="GQ128" s="7"/>
      <c r="GR128" s="7"/>
      <c r="GS128" s="7"/>
      <c r="GT128" s="7"/>
      <c r="GU128" s="7"/>
      <c r="GV128" s="7"/>
      <c r="GW128" s="7"/>
      <c r="GX128" s="7"/>
      <c r="GY128" s="7"/>
      <c r="GZ128" s="7"/>
      <c r="HA128" s="7"/>
      <c r="HB128" s="7"/>
      <c r="HC128" s="7"/>
      <c r="HD128" s="7"/>
      <c r="HE128" s="7"/>
      <c r="HF128" s="7"/>
      <c r="HG128" s="7"/>
      <c r="HH128" s="7"/>
      <c r="HI128" s="7"/>
      <c r="HJ128" s="7"/>
      <c r="HK128" s="7"/>
      <c r="HL128" s="7"/>
      <c r="HM128" s="7"/>
      <c r="HN128" s="7"/>
      <c r="HO128" s="7"/>
      <c r="HP128" s="7"/>
      <c r="HQ128" s="7"/>
      <c r="HR128" s="7"/>
      <c r="HS128" s="7"/>
      <c r="HT128" s="7"/>
      <c r="HU128" s="7"/>
      <c r="HV128" s="7"/>
      <c r="HW128" s="7"/>
      <c r="HX128" s="7"/>
      <c r="HY128" s="7"/>
    </row>
    <row r="129" spans="1:233">
      <c r="A129" s="56" t="s">
        <v>172</v>
      </c>
      <c r="B129" s="56" t="s">
        <v>173</v>
      </c>
      <c r="C129" s="56" t="s">
        <v>30</v>
      </c>
      <c r="D129" s="60">
        <v>807076.88</v>
      </c>
      <c r="E129" s="63" t="s">
        <v>18</v>
      </c>
      <c r="F129" s="66" t="s">
        <v>1</v>
      </c>
      <c r="G129" s="58" t="s">
        <v>36</v>
      </c>
      <c r="H129" s="59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7"/>
      <c r="BW129" s="7"/>
      <c r="BX129" s="7"/>
      <c r="BY129" s="7"/>
      <c r="BZ129" s="7"/>
      <c r="CA129" s="7"/>
      <c r="CB129" s="7"/>
      <c r="CC129" s="7"/>
      <c r="CD129" s="7"/>
      <c r="CE129" s="7"/>
      <c r="CF129" s="7"/>
      <c r="CG129" s="7"/>
      <c r="CH129" s="7"/>
      <c r="CI129" s="7"/>
      <c r="CJ129" s="7"/>
      <c r="CK129" s="7"/>
      <c r="CL129" s="7"/>
      <c r="CM129" s="7"/>
      <c r="CN129" s="7"/>
      <c r="CO129" s="7"/>
      <c r="CP129" s="7"/>
      <c r="CQ129" s="7"/>
      <c r="CR129" s="7"/>
      <c r="CS129" s="7"/>
      <c r="CT129" s="7"/>
      <c r="CU129" s="7"/>
      <c r="CV129" s="7"/>
      <c r="CW129" s="7"/>
      <c r="CX129" s="7"/>
      <c r="CY129" s="7"/>
      <c r="CZ129" s="7"/>
      <c r="DA129" s="7"/>
      <c r="DB129" s="7"/>
      <c r="DC129" s="7"/>
      <c r="DD129" s="7"/>
      <c r="DE129" s="7"/>
      <c r="DF129" s="7"/>
      <c r="DG129" s="7"/>
      <c r="DH129" s="7"/>
      <c r="DI129" s="7"/>
      <c r="DJ129" s="7"/>
      <c r="DK129" s="7"/>
      <c r="DL129" s="7"/>
      <c r="DM129" s="7"/>
      <c r="DN129" s="7"/>
      <c r="DO129" s="7"/>
      <c r="DP129" s="7"/>
      <c r="DQ129" s="7"/>
      <c r="DR129" s="7"/>
      <c r="DS129" s="7"/>
      <c r="DT129" s="7"/>
      <c r="DU129" s="7"/>
      <c r="DV129" s="7"/>
      <c r="DW129" s="7"/>
      <c r="DX129" s="7"/>
      <c r="DY129" s="7"/>
      <c r="DZ129" s="7"/>
      <c r="EA129" s="7"/>
      <c r="EB129" s="7"/>
      <c r="EC129" s="7"/>
      <c r="ED129" s="7"/>
      <c r="EE129" s="7"/>
      <c r="EF129" s="7"/>
      <c r="EG129" s="7"/>
      <c r="EH129" s="7"/>
      <c r="EI129" s="7"/>
      <c r="EJ129" s="7"/>
      <c r="EK129" s="7"/>
      <c r="EL129" s="7"/>
      <c r="EM129" s="7"/>
      <c r="EN129" s="7"/>
      <c r="EO129" s="7"/>
      <c r="EP129" s="7"/>
      <c r="EQ129" s="7"/>
      <c r="ER129" s="7"/>
      <c r="ES129" s="7"/>
      <c r="ET129" s="7"/>
      <c r="EU129" s="7"/>
      <c r="EV129" s="7"/>
      <c r="EW129" s="7"/>
      <c r="EX129" s="7"/>
      <c r="EY129" s="7"/>
      <c r="EZ129" s="7"/>
      <c r="FA129" s="7"/>
      <c r="FB129" s="7"/>
      <c r="FC129" s="7"/>
      <c r="FD129" s="7"/>
      <c r="FE129" s="7"/>
      <c r="FF129" s="7"/>
      <c r="FG129" s="7"/>
      <c r="FH129" s="7"/>
      <c r="FI129" s="7"/>
      <c r="FJ129" s="7"/>
      <c r="FK129" s="7"/>
      <c r="FL129" s="7"/>
      <c r="FM129" s="7"/>
      <c r="FN129" s="7"/>
      <c r="FO129" s="7"/>
      <c r="FP129" s="7"/>
      <c r="FQ129" s="7"/>
      <c r="FR129" s="7"/>
      <c r="FS129" s="7"/>
      <c r="FT129" s="7"/>
      <c r="FU129" s="7"/>
      <c r="FV129" s="7"/>
      <c r="FW129" s="7"/>
      <c r="FX129" s="7"/>
      <c r="FY129" s="7"/>
      <c r="FZ129" s="7"/>
      <c r="GA129" s="7"/>
      <c r="GB129" s="7"/>
      <c r="GC129" s="7"/>
      <c r="GD129" s="7"/>
      <c r="GE129" s="7"/>
      <c r="GF129" s="7"/>
      <c r="GG129" s="7"/>
      <c r="GH129" s="7"/>
      <c r="GI129" s="7"/>
      <c r="GJ129" s="7"/>
      <c r="GK129" s="7"/>
      <c r="GL129" s="7"/>
      <c r="GM129" s="7"/>
      <c r="GN129" s="7"/>
      <c r="GO129" s="7"/>
      <c r="GP129" s="7"/>
      <c r="GQ129" s="7"/>
      <c r="GR129" s="7"/>
      <c r="GS129" s="7"/>
      <c r="GT129" s="7"/>
      <c r="GU129" s="7"/>
      <c r="GV129" s="7"/>
      <c r="GW129" s="7"/>
      <c r="GX129" s="7"/>
      <c r="GY129" s="7"/>
      <c r="GZ129" s="7"/>
      <c r="HA129" s="7"/>
      <c r="HB129" s="7"/>
      <c r="HC129" s="7"/>
      <c r="HD129" s="7"/>
      <c r="HE129" s="7"/>
      <c r="HF129" s="7"/>
      <c r="HG129" s="7"/>
      <c r="HH129" s="7"/>
      <c r="HI129" s="7"/>
      <c r="HJ129" s="7"/>
      <c r="HK129" s="7"/>
      <c r="HL129" s="7"/>
      <c r="HM129" s="7"/>
      <c r="HN129" s="7"/>
      <c r="HO129" s="7"/>
      <c r="HP129" s="7"/>
      <c r="HQ129" s="7"/>
      <c r="HR129" s="7"/>
      <c r="HS129" s="7"/>
      <c r="HT129" s="7"/>
      <c r="HU129" s="7"/>
      <c r="HV129" s="7"/>
      <c r="HW129" s="7"/>
      <c r="HX129" s="7"/>
      <c r="HY129" s="7"/>
    </row>
    <row r="130" spans="1:233">
      <c r="A130" s="56" t="s">
        <v>174</v>
      </c>
      <c r="B130" s="56" t="s">
        <v>175</v>
      </c>
      <c r="C130" s="56" t="s">
        <v>28</v>
      </c>
      <c r="D130" s="60">
        <v>104052.49</v>
      </c>
      <c r="E130" s="63" t="s">
        <v>22</v>
      </c>
      <c r="F130" s="66" t="s">
        <v>93</v>
      </c>
      <c r="G130" s="58" t="s">
        <v>97</v>
      </c>
      <c r="H130" s="59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7"/>
      <c r="BW130" s="7"/>
      <c r="BX130" s="7"/>
      <c r="BY130" s="7"/>
      <c r="BZ130" s="7"/>
      <c r="CA130" s="7"/>
      <c r="CB130" s="7"/>
      <c r="CC130" s="7"/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  <c r="CO130" s="7"/>
      <c r="CP130" s="7"/>
      <c r="CQ130" s="7"/>
      <c r="CR130" s="7"/>
      <c r="CS130" s="7"/>
      <c r="CT130" s="7"/>
      <c r="CU130" s="7"/>
      <c r="CV130" s="7"/>
      <c r="CW130" s="7"/>
      <c r="CX130" s="7"/>
      <c r="CY130" s="7"/>
      <c r="CZ130" s="7"/>
      <c r="DA130" s="7"/>
      <c r="DB130" s="7"/>
      <c r="DC130" s="7"/>
      <c r="DD130" s="7"/>
      <c r="DE130" s="7"/>
      <c r="DF130" s="7"/>
      <c r="DG130" s="7"/>
      <c r="DH130" s="7"/>
      <c r="DI130" s="7"/>
      <c r="DJ130" s="7"/>
      <c r="DK130" s="7"/>
      <c r="DL130" s="7"/>
      <c r="DM130" s="7"/>
      <c r="DN130" s="7"/>
      <c r="DO130" s="7"/>
      <c r="DP130" s="7"/>
      <c r="DQ130" s="7"/>
      <c r="DR130" s="7"/>
      <c r="DS130" s="7"/>
      <c r="DT130" s="7"/>
      <c r="DU130" s="7"/>
      <c r="DV130" s="7"/>
      <c r="DW130" s="7"/>
      <c r="DX130" s="7"/>
      <c r="DY130" s="7"/>
      <c r="DZ130" s="7"/>
      <c r="EA130" s="7"/>
      <c r="EB130" s="7"/>
      <c r="EC130" s="7"/>
      <c r="ED130" s="7"/>
      <c r="EE130" s="7"/>
      <c r="EF130" s="7"/>
      <c r="EG130" s="7"/>
      <c r="EH130" s="7"/>
      <c r="EI130" s="7"/>
      <c r="EJ130" s="7"/>
      <c r="EK130" s="7"/>
      <c r="EL130" s="7"/>
      <c r="EM130" s="7"/>
      <c r="EN130" s="7"/>
      <c r="EO130" s="7"/>
      <c r="EP130" s="7"/>
      <c r="EQ130" s="7"/>
      <c r="ER130" s="7"/>
      <c r="ES130" s="7"/>
      <c r="ET130" s="7"/>
      <c r="EU130" s="7"/>
      <c r="EV130" s="7"/>
      <c r="EW130" s="7"/>
      <c r="EX130" s="7"/>
      <c r="EY130" s="7"/>
      <c r="EZ130" s="7"/>
      <c r="FA130" s="7"/>
      <c r="FB130" s="7"/>
      <c r="FC130" s="7"/>
      <c r="FD130" s="7"/>
      <c r="FE130" s="7"/>
      <c r="FF130" s="7"/>
      <c r="FG130" s="7"/>
      <c r="FH130" s="7"/>
      <c r="FI130" s="7"/>
      <c r="FJ130" s="7"/>
      <c r="FK130" s="7"/>
      <c r="FL130" s="7"/>
      <c r="FM130" s="7"/>
      <c r="FN130" s="7"/>
      <c r="FO130" s="7"/>
      <c r="FP130" s="7"/>
      <c r="FQ130" s="7"/>
      <c r="FR130" s="7"/>
      <c r="FS130" s="7"/>
      <c r="FT130" s="7"/>
      <c r="FU130" s="7"/>
      <c r="FV130" s="7"/>
      <c r="FW130" s="7"/>
      <c r="FX130" s="7"/>
      <c r="FY130" s="7"/>
      <c r="FZ130" s="7"/>
      <c r="GA130" s="7"/>
      <c r="GB130" s="7"/>
      <c r="GC130" s="7"/>
      <c r="GD130" s="7"/>
      <c r="GE130" s="7"/>
      <c r="GF130" s="7"/>
      <c r="GG130" s="7"/>
      <c r="GH130" s="7"/>
      <c r="GI130" s="7"/>
      <c r="GJ130" s="7"/>
      <c r="GK130" s="7"/>
      <c r="GL130" s="7"/>
      <c r="GM130" s="7"/>
      <c r="GN130" s="7"/>
      <c r="GO130" s="7"/>
      <c r="GP130" s="7"/>
      <c r="GQ130" s="7"/>
      <c r="GR130" s="7"/>
      <c r="GS130" s="7"/>
      <c r="GT130" s="7"/>
      <c r="GU130" s="7"/>
      <c r="GV130" s="7"/>
      <c r="GW130" s="7"/>
      <c r="GX130" s="7"/>
      <c r="GY130" s="7"/>
      <c r="GZ130" s="7"/>
      <c r="HA130" s="7"/>
      <c r="HB130" s="7"/>
      <c r="HC130" s="7"/>
      <c r="HD130" s="7"/>
      <c r="HE130" s="7"/>
      <c r="HF130" s="7"/>
      <c r="HG130" s="7"/>
      <c r="HH130" s="7"/>
      <c r="HI130" s="7"/>
      <c r="HJ130" s="7"/>
      <c r="HK130" s="7"/>
      <c r="HL130" s="7"/>
      <c r="HM130" s="7"/>
      <c r="HN130" s="7"/>
      <c r="HO130" s="7"/>
      <c r="HP130" s="7"/>
      <c r="HQ130" s="7"/>
      <c r="HR130" s="7"/>
      <c r="HS130" s="7"/>
      <c r="HT130" s="7"/>
      <c r="HU130" s="7"/>
      <c r="HV130" s="7"/>
      <c r="HW130" s="7"/>
      <c r="HX130" s="7"/>
      <c r="HY130" s="7"/>
    </row>
    <row r="131" spans="1:233">
      <c r="A131" s="56" t="s">
        <v>174</v>
      </c>
      <c r="B131" s="56" t="s">
        <v>175</v>
      </c>
      <c r="C131" s="56" t="s">
        <v>29</v>
      </c>
      <c r="D131" s="60">
        <v>3814205</v>
      </c>
      <c r="E131" s="63" t="s">
        <v>19</v>
      </c>
      <c r="F131" s="66" t="s">
        <v>93</v>
      </c>
      <c r="G131" s="58" t="s">
        <v>98</v>
      </c>
      <c r="H131" s="59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/>
      <c r="BV131" s="7"/>
      <c r="BW131" s="7"/>
      <c r="BX131" s="7"/>
      <c r="BY131" s="7"/>
      <c r="BZ131" s="7"/>
      <c r="CA131" s="7"/>
      <c r="CB131" s="7"/>
      <c r="CC131" s="7"/>
      <c r="CD131" s="7"/>
      <c r="CE131" s="7"/>
      <c r="CF131" s="7"/>
      <c r="CG131" s="7"/>
      <c r="CH131" s="7"/>
      <c r="CI131" s="7"/>
      <c r="CJ131" s="7"/>
      <c r="CK131" s="7"/>
      <c r="CL131" s="7"/>
      <c r="CM131" s="7"/>
      <c r="CN131" s="7"/>
      <c r="CO131" s="7"/>
      <c r="CP131" s="7"/>
      <c r="CQ131" s="7"/>
      <c r="CR131" s="7"/>
      <c r="CS131" s="7"/>
      <c r="CT131" s="7"/>
      <c r="CU131" s="7"/>
      <c r="CV131" s="7"/>
      <c r="CW131" s="7"/>
      <c r="CX131" s="7"/>
      <c r="CY131" s="7"/>
      <c r="CZ131" s="7"/>
      <c r="DA131" s="7"/>
      <c r="DB131" s="7"/>
      <c r="DC131" s="7"/>
      <c r="DD131" s="7"/>
      <c r="DE131" s="7"/>
      <c r="DF131" s="7"/>
      <c r="DG131" s="7"/>
      <c r="DH131" s="7"/>
      <c r="DI131" s="7"/>
      <c r="DJ131" s="7"/>
      <c r="DK131" s="7"/>
      <c r="DL131" s="7"/>
      <c r="DM131" s="7"/>
      <c r="DN131" s="7"/>
      <c r="DO131" s="7"/>
      <c r="DP131" s="7"/>
      <c r="DQ131" s="7"/>
      <c r="DR131" s="7"/>
      <c r="DS131" s="7"/>
      <c r="DT131" s="7"/>
      <c r="DU131" s="7"/>
      <c r="DV131" s="7"/>
      <c r="DW131" s="7"/>
      <c r="DX131" s="7"/>
      <c r="DY131" s="7"/>
      <c r="DZ131" s="7"/>
      <c r="EA131" s="7"/>
      <c r="EB131" s="7"/>
      <c r="EC131" s="7"/>
      <c r="ED131" s="7"/>
      <c r="EE131" s="7"/>
      <c r="EF131" s="7"/>
      <c r="EG131" s="7"/>
      <c r="EH131" s="7"/>
      <c r="EI131" s="7"/>
      <c r="EJ131" s="7"/>
      <c r="EK131" s="7"/>
      <c r="EL131" s="7"/>
      <c r="EM131" s="7"/>
      <c r="EN131" s="7"/>
      <c r="EO131" s="7"/>
      <c r="EP131" s="7"/>
      <c r="EQ131" s="7"/>
      <c r="ER131" s="7"/>
      <c r="ES131" s="7"/>
      <c r="ET131" s="7"/>
      <c r="EU131" s="7"/>
      <c r="EV131" s="7"/>
      <c r="EW131" s="7"/>
      <c r="EX131" s="7"/>
      <c r="EY131" s="7"/>
      <c r="EZ131" s="7"/>
      <c r="FA131" s="7"/>
      <c r="FB131" s="7"/>
      <c r="FC131" s="7"/>
      <c r="FD131" s="7"/>
      <c r="FE131" s="7"/>
      <c r="FF131" s="7"/>
      <c r="FG131" s="7"/>
      <c r="FH131" s="7"/>
      <c r="FI131" s="7"/>
      <c r="FJ131" s="7"/>
      <c r="FK131" s="7"/>
      <c r="FL131" s="7"/>
      <c r="FM131" s="7"/>
      <c r="FN131" s="7"/>
      <c r="FO131" s="7"/>
      <c r="FP131" s="7"/>
      <c r="FQ131" s="7"/>
      <c r="FR131" s="7"/>
      <c r="FS131" s="7"/>
      <c r="FT131" s="7"/>
      <c r="FU131" s="7"/>
      <c r="FV131" s="7"/>
      <c r="FW131" s="7"/>
      <c r="FX131" s="7"/>
      <c r="FY131" s="7"/>
      <c r="FZ131" s="7"/>
      <c r="GA131" s="7"/>
      <c r="GB131" s="7"/>
      <c r="GC131" s="7"/>
      <c r="GD131" s="7"/>
      <c r="GE131" s="7"/>
      <c r="GF131" s="7"/>
      <c r="GG131" s="7"/>
      <c r="GH131" s="7"/>
      <c r="GI131" s="7"/>
      <c r="GJ131" s="7"/>
      <c r="GK131" s="7"/>
      <c r="GL131" s="7"/>
      <c r="GM131" s="7"/>
      <c r="GN131" s="7"/>
      <c r="GO131" s="7"/>
      <c r="GP131" s="7"/>
      <c r="GQ131" s="7"/>
      <c r="GR131" s="7"/>
      <c r="GS131" s="7"/>
      <c r="GT131" s="7"/>
      <c r="GU131" s="7"/>
      <c r="GV131" s="7"/>
      <c r="GW131" s="7"/>
      <c r="GX131" s="7"/>
      <c r="GY131" s="7"/>
      <c r="GZ131" s="7"/>
      <c r="HA131" s="7"/>
      <c r="HB131" s="7"/>
      <c r="HC131" s="7"/>
      <c r="HD131" s="7"/>
      <c r="HE131" s="7"/>
      <c r="HF131" s="7"/>
      <c r="HG131" s="7"/>
      <c r="HH131" s="7"/>
      <c r="HI131" s="7"/>
      <c r="HJ131" s="7"/>
      <c r="HK131" s="7"/>
      <c r="HL131" s="7"/>
      <c r="HM131" s="7"/>
      <c r="HN131" s="7"/>
      <c r="HO131" s="7"/>
      <c r="HP131" s="7"/>
      <c r="HQ131" s="7"/>
      <c r="HR131" s="7"/>
      <c r="HS131" s="7"/>
      <c r="HT131" s="7"/>
      <c r="HU131" s="7"/>
      <c r="HV131" s="7"/>
      <c r="HW131" s="7"/>
      <c r="HX131" s="7"/>
      <c r="HY131" s="7"/>
    </row>
    <row r="132" spans="1:233">
      <c r="A132" s="56" t="s">
        <v>176</v>
      </c>
      <c r="B132" s="56" t="s">
        <v>177</v>
      </c>
      <c r="C132" s="56" t="s">
        <v>67</v>
      </c>
      <c r="D132" s="60">
        <v>226116.3</v>
      </c>
      <c r="E132" s="63" t="s">
        <v>21</v>
      </c>
      <c r="F132" s="66" t="s">
        <v>8</v>
      </c>
      <c r="G132" s="58" t="s">
        <v>188</v>
      </c>
      <c r="H132" s="59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7"/>
      <c r="BW132" s="7"/>
      <c r="BX132" s="7"/>
      <c r="BY132" s="7"/>
      <c r="BZ132" s="7"/>
      <c r="CA132" s="7"/>
      <c r="CB132" s="7"/>
      <c r="CC132" s="7"/>
      <c r="CD132" s="7"/>
      <c r="CE132" s="7"/>
      <c r="CF132" s="7"/>
      <c r="CG132" s="7"/>
      <c r="CH132" s="7"/>
      <c r="CI132" s="7"/>
      <c r="CJ132" s="7"/>
      <c r="CK132" s="7"/>
      <c r="CL132" s="7"/>
      <c r="CM132" s="7"/>
      <c r="CN132" s="7"/>
      <c r="CO132" s="7"/>
      <c r="CP132" s="7"/>
      <c r="CQ132" s="7"/>
      <c r="CR132" s="7"/>
      <c r="CS132" s="7"/>
      <c r="CT132" s="7"/>
      <c r="CU132" s="7"/>
      <c r="CV132" s="7"/>
      <c r="CW132" s="7"/>
      <c r="CX132" s="7"/>
      <c r="CY132" s="7"/>
      <c r="CZ132" s="7"/>
      <c r="DA132" s="7"/>
      <c r="DB132" s="7"/>
      <c r="DC132" s="7"/>
      <c r="DD132" s="7"/>
      <c r="DE132" s="7"/>
      <c r="DF132" s="7"/>
      <c r="DG132" s="7"/>
      <c r="DH132" s="7"/>
      <c r="DI132" s="7"/>
      <c r="DJ132" s="7"/>
      <c r="DK132" s="7"/>
      <c r="DL132" s="7"/>
      <c r="DM132" s="7"/>
      <c r="DN132" s="7"/>
      <c r="DO132" s="7"/>
      <c r="DP132" s="7"/>
      <c r="DQ132" s="7"/>
      <c r="DR132" s="7"/>
      <c r="DS132" s="7"/>
      <c r="DT132" s="7"/>
      <c r="DU132" s="7"/>
      <c r="DV132" s="7"/>
      <c r="DW132" s="7"/>
      <c r="DX132" s="7"/>
      <c r="DY132" s="7"/>
      <c r="DZ132" s="7"/>
      <c r="EA132" s="7"/>
      <c r="EB132" s="7"/>
      <c r="EC132" s="7"/>
      <c r="ED132" s="7"/>
      <c r="EE132" s="7"/>
      <c r="EF132" s="7"/>
      <c r="EG132" s="7"/>
      <c r="EH132" s="7"/>
      <c r="EI132" s="7"/>
      <c r="EJ132" s="7"/>
      <c r="EK132" s="7"/>
      <c r="EL132" s="7"/>
      <c r="EM132" s="7"/>
      <c r="EN132" s="7"/>
      <c r="EO132" s="7"/>
      <c r="EP132" s="7"/>
      <c r="EQ132" s="7"/>
      <c r="ER132" s="7"/>
      <c r="ES132" s="7"/>
      <c r="ET132" s="7"/>
      <c r="EU132" s="7"/>
      <c r="EV132" s="7"/>
      <c r="EW132" s="7"/>
      <c r="EX132" s="7"/>
      <c r="EY132" s="7"/>
      <c r="EZ132" s="7"/>
      <c r="FA132" s="7"/>
      <c r="FB132" s="7"/>
      <c r="FC132" s="7"/>
      <c r="FD132" s="7"/>
      <c r="FE132" s="7"/>
      <c r="FF132" s="7"/>
      <c r="FG132" s="7"/>
      <c r="FH132" s="7"/>
      <c r="FI132" s="7"/>
      <c r="FJ132" s="7"/>
      <c r="FK132" s="7"/>
      <c r="FL132" s="7"/>
      <c r="FM132" s="7"/>
      <c r="FN132" s="7"/>
      <c r="FO132" s="7"/>
      <c r="FP132" s="7"/>
      <c r="FQ132" s="7"/>
      <c r="FR132" s="7"/>
      <c r="FS132" s="7"/>
      <c r="FT132" s="7"/>
      <c r="FU132" s="7"/>
      <c r="FV132" s="7"/>
      <c r="FW132" s="7"/>
      <c r="FX132" s="7"/>
      <c r="FY132" s="7"/>
      <c r="FZ132" s="7"/>
      <c r="GA132" s="7"/>
      <c r="GB132" s="7"/>
      <c r="GC132" s="7"/>
      <c r="GD132" s="7"/>
      <c r="GE132" s="7"/>
      <c r="GF132" s="7"/>
      <c r="GG132" s="7"/>
      <c r="GH132" s="7"/>
      <c r="GI132" s="7"/>
      <c r="GJ132" s="7"/>
      <c r="GK132" s="7"/>
      <c r="GL132" s="7"/>
      <c r="GM132" s="7"/>
      <c r="GN132" s="7"/>
      <c r="GO132" s="7"/>
      <c r="GP132" s="7"/>
      <c r="GQ132" s="7"/>
      <c r="GR132" s="7"/>
      <c r="GS132" s="7"/>
      <c r="GT132" s="7"/>
      <c r="GU132" s="7"/>
      <c r="GV132" s="7"/>
      <c r="GW132" s="7"/>
      <c r="GX132" s="7"/>
      <c r="GY132" s="7"/>
      <c r="GZ132" s="7"/>
      <c r="HA132" s="7"/>
      <c r="HB132" s="7"/>
      <c r="HC132" s="7"/>
      <c r="HD132" s="7"/>
      <c r="HE132" s="7"/>
      <c r="HF132" s="7"/>
      <c r="HG132" s="7"/>
      <c r="HH132" s="7"/>
      <c r="HI132" s="7"/>
      <c r="HJ132" s="7"/>
      <c r="HK132" s="7"/>
      <c r="HL132" s="7"/>
      <c r="HM132" s="7"/>
      <c r="HN132" s="7"/>
      <c r="HO132" s="7"/>
      <c r="HP132" s="7"/>
      <c r="HQ132" s="7"/>
      <c r="HR132" s="7"/>
      <c r="HS132" s="7"/>
      <c r="HT132" s="7"/>
      <c r="HU132" s="7"/>
      <c r="HV132" s="7"/>
      <c r="HW132" s="7"/>
      <c r="HX132" s="7"/>
      <c r="HY132" s="7"/>
    </row>
    <row r="133" spans="1:233">
      <c r="A133" s="56" t="s">
        <v>176</v>
      </c>
      <c r="B133" s="56" t="s">
        <v>177</v>
      </c>
      <c r="C133" s="56" t="s">
        <v>28</v>
      </c>
      <c r="D133" s="60">
        <v>784</v>
      </c>
      <c r="E133" s="63" t="s">
        <v>22</v>
      </c>
      <c r="F133" s="66" t="s">
        <v>8</v>
      </c>
      <c r="G133" s="58" t="s">
        <v>189</v>
      </c>
      <c r="H133" s="59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7"/>
      <c r="BV133" s="7"/>
      <c r="BW133" s="7"/>
      <c r="BX133" s="7"/>
      <c r="BY133" s="7"/>
      <c r="BZ133" s="7"/>
      <c r="CA133" s="7"/>
      <c r="CB133" s="7"/>
      <c r="CC133" s="7"/>
      <c r="CD133" s="7"/>
      <c r="CE133" s="7"/>
      <c r="CF133" s="7"/>
      <c r="CG133" s="7"/>
      <c r="CH133" s="7"/>
      <c r="CI133" s="7"/>
      <c r="CJ133" s="7"/>
      <c r="CK133" s="7"/>
      <c r="CL133" s="7"/>
      <c r="CM133" s="7"/>
      <c r="CN133" s="7"/>
      <c r="CO133" s="7"/>
      <c r="CP133" s="7"/>
      <c r="CQ133" s="7"/>
      <c r="CR133" s="7"/>
      <c r="CS133" s="7"/>
      <c r="CT133" s="7"/>
      <c r="CU133" s="7"/>
      <c r="CV133" s="7"/>
      <c r="CW133" s="7"/>
      <c r="CX133" s="7"/>
      <c r="CY133" s="7"/>
      <c r="CZ133" s="7"/>
      <c r="DA133" s="7"/>
      <c r="DB133" s="7"/>
      <c r="DC133" s="7"/>
      <c r="DD133" s="7"/>
      <c r="DE133" s="7"/>
      <c r="DF133" s="7"/>
      <c r="DG133" s="7"/>
      <c r="DH133" s="7"/>
      <c r="DI133" s="7"/>
      <c r="DJ133" s="7"/>
      <c r="DK133" s="7"/>
      <c r="DL133" s="7"/>
      <c r="DM133" s="7"/>
      <c r="DN133" s="7"/>
      <c r="DO133" s="7"/>
      <c r="DP133" s="7"/>
      <c r="DQ133" s="7"/>
      <c r="DR133" s="7"/>
      <c r="DS133" s="7"/>
      <c r="DT133" s="7"/>
      <c r="DU133" s="7"/>
      <c r="DV133" s="7"/>
      <c r="DW133" s="7"/>
      <c r="DX133" s="7"/>
      <c r="DY133" s="7"/>
      <c r="DZ133" s="7"/>
      <c r="EA133" s="7"/>
      <c r="EB133" s="7"/>
      <c r="EC133" s="7"/>
      <c r="ED133" s="7"/>
      <c r="EE133" s="7"/>
      <c r="EF133" s="7"/>
      <c r="EG133" s="7"/>
      <c r="EH133" s="7"/>
      <c r="EI133" s="7"/>
      <c r="EJ133" s="7"/>
      <c r="EK133" s="7"/>
      <c r="EL133" s="7"/>
      <c r="EM133" s="7"/>
      <c r="EN133" s="7"/>
      <c r="EO133" s="7"/>
      <c r="EP133" s="7"/>
      <c r="EQ133" s="7"/>
      <c r="ER133" s="7"/>
      <c r="ES133" s="7"/>
      <c r="ET133" s="7"/>
      <c r="EU133" s="7"/>
      <c r="EV133" s="7"/>
      <c r="EW133" s="7"/>
      <c r="EX133" s="7"/>
      <c r="EY133" s="7"/>
      <c r="EZ133" s="7"/>
      <c r="FA133" s="7"/>
      <c r="FB133" s="7"/>
      <c r="FC133" s="7"/>
      <c r="FD133" s="7"/>
      <c r="FE133" s="7"/>
      <c r="FF133" s="7"/>
      <c r="FG133" s="7"/>
      <c r="FH133" s="7"/>
      <c r="FI133" s="7"/>
      <c r="FJ133" s="7"/>
      <c r="FK133" s="7"/>
      <c r="FL133" s="7"/>
      <c r="FM133" s="7"/>
      <c r="FN133" s="7"/>
      <c r="FO133" s="7"/>
      <c r="FP133" s="7"/>
      <c r="FQ133" s="7"/>
      <c r="FR133" s="7"/>
      <c r="FS133" s="7"/>
      <c r="FT133" s="7"/>
      <c r="FU133" s="7"/>
      <c r="FV133" s="7"/>
      <c r="FW133" s="7"/>
      <c r="FX133" s="7"/>
      <c r="FY133" s="7"/>
      <c r="FZ133" s="7"/>
      <c r="GA133" s="7"/>
      <c r="GB133" s="7"/>
      <c r="GC133" s="7"/>
      <c r="GD133" s="7"/>
      <c r="GE133" s="7"/>
      <c r="GF133" s="7"/>
      <c r="GG133" s="7"/>
      <c r="GH133" s="7"/>
      <c r="GI133" s="7"/>
      <c r="GJ133" s="7"/>
      <c r="GK133" s="7"/>
      <c r="GL133" s="7"/>
      <c r="GM133" s="7"/>
      <c r="GN133" s="7"/>
      <c r="GO133" s="7"/>
      <c r="GP133" s="7"/>
      <c r="GQ133" s="7"/>
      <c r="GR133" s="7"/>
      <c r="GS133" s="7"/>
      <c r="GT133" s="7"/>
      <c r="GU133" s="7"/>
      <c r="GV133" s="7"/>
      <c r="GW133" s="7"/>
      <c r="GX133" s="7"/>
      <c r="GY133" s="7"/>
      <c r="GZ133" s="7"/>
      <c r="HA133" s="7"/>
      <c r="HB133" s="7"/>
      <c r="HC133" s="7"/>
      <c r="HD133" s="7"/>
      <c r="HE133" s="7"/>
      <c r="HF133" s="7"/>
      <c r="HG133" s="7"/>
      <c r="HH133" s="7"/>
      <c r="HI133" s="7"/>
      <c r="HJ133" s="7"/>
      <c r="HK133" s="7"/>
      <c r="HL133" s="7"/>
      <c r="HM133" s="7"/>
      <c r="HN133" s="7"/>
      <c r="HO133" s="7"/>
      <c r="HP133" s="7"/>
      <c r="HQ133" s="7"/>
      <c r="HR133" s="7"/>
      <c r="HS133" s="7"/>
      <c r="HT133" s="7"/>
      <c r="HU133" s="7"/>
      <c r="HV133" s="7"/>
      <c r="HW133" s="7"/>
      <c r="HX133" s="7"/>
      <c r="HY133" s="7"/>
    </row>
    <row r="134" spans="1:233">
      <c r="A134" s="56" t="s">
        <v>176</v>
      </c>
      <c r="B134" s="56" t="s">
        <v>177</v>
      </c>
      <c r="C134" s="56" t="s">
        <v>29</v>
      </c>
      <c r="D134" s="60">
        <v>3919.53</v>
      </c>
      <c r="E134" s="63" t="s">
        <v>19</v>
      </c>
      <c r="F134" s="66" t="s">
        <v>8</v>
      </c>
      <c r="G134" s="58" t="s">
        <v>190</v>
      </c>
      <c r="H134" s="59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7"/>
      <c r="BV134" s="7"/>
      <c r="BW134" s="7"/>
      <c r="BX134" s="7"/>
      <c r="BY134" s="7"/>
      <c r="BZ134" s="7"/>
      <c r="CA134" s="7"/>
      <c r="CB134" s="7"/>
      <c r="CC134" s="7"/>
      <c r="CD134" s="7"/>
      <c r="CE134" s="7"/>
      <c r="CF134" s="7"/>
      <c r="CG134" s="7"/>
      <c r="CH134" s="7"/>
      <c r="CI134" s="7"/>
      <c r="CJ134" s="7"/>
      <c r="CK134" s="7"/>
      <c r="CL134" s="7"/>
      <c r="CM134" s="7"/>
      <c r="CN134" s="7"/>
      <c r="CO134" s="7"/>
      <c r="CP134" s="7"/>
      <c r="CQ134" s="7"/>
      <c r="CR134" s="7"/>
      <c r="CS134" s="7"/>
      <c r="CT134" s="7"/>
      <c r="CU134" s="7"/>
      <c r="CV134" s="7"/>
      <c r="CW134" s="7"/>
      <c r="CX134" s="7"/>
      <c r="CY134" s="7"/>
      <c r="CZ134" s="7"/>
      <c r="DA134" s="7"/>
      <c r="DB134" s="7"/>
      <c r="DC134" s="7"/>
      <c r="DD134" s="7"/>
      <c r="DE134" s="7"/>
      <c r="DF134" s="7"/>
      <c r="DG134" s="7"/>
      <c r="DH134" s="7"/>
      <c r="DI134" s="7"/>
      <c r="DJ134" s="7"/>
      <c r="DK134" s="7"/>
      <c r="DL134" s="7"/>
      <c r="DM134" s="7"/>
      <c r="DN134" s="7"/>
      <c r="DO134" s="7"/>
      <c r="DP134" s="7"/>
      <c r="DQ134" s="7"/>
      <c r="DR134" s="7"/>
      <c r="DS134" s="7"/>
      <c r="DT134" s="7"/>
      <c r="DU134" s="7"/>
      <c r="DV134" s="7"/>
      <c r="DW134" s="7"/>
      <c r="DX134" s="7"/>
      <c r="DY134" s="7"/>
      <c r="DZ134" s="7"/>
      <c r="EA134" s="7"/>
      <c r="EB134" s="7"/>
      <c r="EC134" s="7"/>
      <c r="ED134" s="7"/>
      <c r="EE134" s="7"/>
      <c r="EF134" s="7"/>
      <c r="EG134" s="7"/>
      <c r="EH134" s="7"/>
      <c r="EI134" s="7"/>
      <c r="EJ134" s="7"/>
      <c r="EK134" s="7"/>
      <c r="EL134" s="7"/>
      <c r="EM134" s="7"/>
      <c r="EN134" s="7"/>
      <c r="EO134" s="7"/>
      <c r="EP134" s="7"/>
      <c r="EQ134" s="7"/>
      <c r="ER134" s="7"/>
      <c r="ES134" s="7"/>
      <c r="ET134" s="7"/>
      <c r="EU134" s="7"/>
      <c r="EV134" s="7"/>
      <c r="EW134" s="7"/>
      <c r="EX134" s="7"/>
      <c r="EY134" s="7"/>
      <c r="EZ134" s="7"/>
      <c r="FA134" s="7"/>
      <c r="FB134" s="7"/>
      <c r="FC134" s="7"/>
      <c r="FD134" s="7"/>
      <c r="FE134" s="7"/>
      <c r="FF134" s="7"/>
      <c r="FG134" s="7"/>
      <c r="FH134" s="7"/>
      <c r="FI134" s="7"/>
      <c r="FJ134" s="7"/>
      <c r="FK134" s="7"/>
      <c r="FL134" s="7"/>
      <c r="FM134" s="7"/>
      <c r="FN134" s="7"/>
      <c r="FO134" s="7"/>
      <c r="FP134" s="7"/>
      <c r="FQ134" s="7"/>
      <c r="FR134" s="7"/>
      <c r="FS134" s="7"/>
      <c r="FT134" s="7"/>
      <c r="FU134" s="7"/>
      <c r="FV134" s="7"/>
      <c r="FW134" s="7"/>
      <c r="FX134" s="7"/>
      <c r="FY134" s="7"/>
      <c r="FZ134" s="7"/>
      <c r="GA134" s="7"/>
      <c r="GB134" s="7"/>
      <c r="GC134" s="7"/>
      <c r="GD134" s="7"/>
      <c r="GE134" s="7"/>
      <c r="GF134" s="7"/>
      <c r="GG134" s="7"/>
      <c r="GH134" s="7"/>
      <c r="GI134" s="7"/>
      <c r="GJ134" s="7"/>
      <c r="GK134" s="7"/>
      <c r="GL134" s="7"/>
      <c r="GM134" s="7"/>
      <c r="GN134" s="7"/>
      <c r="GO134" s="7"/>
      <c r="GP134" s="7"/>
      <c r="GQ134" s="7"/>
      <c r="GR134" s="7"/>
      <c r="GS134" s="7"/>
      <c r="GT134" s="7"/>
      <c r="GU134" s="7"/>
      <c r="GV134" s="7"/>
      <c r="GW134" s="7"/>
      <c r="GX134" s="7"/>
      <c r="GY134" s="7"/>
      <c r="GZ134" s="7"/>
      <c r="HA134" s="7"/>
      <c r="HB134" s="7"/>
      <c r="HC134" s="7"/>
      <c r="HD134" s="7"/>
      <c r="HE134" s="7"/>
      <c r="HF134" s="7"/>
      <c r="HG134" s="7"/>
      <c r="HH134" s="7"/>
      <c r="HI134" s="7"/>
      <c r="HJ134" s="7"/>
      <c r="HK134" s="7"/>
      <c r="HL134" s="7"/>
      <c r="HM134" s="7"/>
      <c r="HN134" s="7"/>
      <c r="HO134" s="7"/>
      <c r="HP134" s="7"/>
      <c r="HQ134" s="7"/>
      <c r="HR134" s="7"/>
      <c r="HS134" s="7"/>
      <c r="HT134" s="7"/>
      <c r="HU134" s="7"/>
      <c r="HV134" s="7"/>
      <c r="HW134" s="7"/>
      <c r="HX134" s="7"/>
      <c r="HY134" s="7"/>
    </row>
    <row r="135" spans="1:233">
      <c r="A135" s="56" t="s">
        <v>178</v>
      </c>
      <c r="B135" s="56" t="s">
        <v>179</v>
      </c>
      <c r="C135" s="56" t="s">
        <v>67</v>
      </c>
      <c r="D135" s="60">
        <v>111307.75</v>
      </c>
      <c r="E135" s="63" t="s">
        <v>21</v>
      </c>
      <c r="F135" s="66" t="s">
        <v>11</v>
      </c>
      <c r="G135" s="58" t="s">
        <v>109</v>
      </c>
      <c r="H135" s="59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7"/>
      <c r="BW135" s="7"/>
      <c r="BX135" s="7"/>
      <c r="BY135" s="7"/>
      <c r="BZ135" s="7"/>
      <c r="CA135" s="7"/>
      <c r="CB135" s="7"/>
      <c r="CC135" s="7"/>
      <c r="CD135" s="7"/>
      <c r="CE135" s="7"/>
      <c r="CF135" s="7"/>
      <c r="CG135" s="7"/>
      <c r="CH135" s="7"/>
      <c r="CI135" s="7"/>
      <c r="CJ135" s="7"/>
      <c r="CK135" s="7"/>
      <c r="CL135" s="7"/>
      <c r="CM135" s="7"/>
      <c r="CN135" s="7"/>
      <c r="CO135" s="7"/>
      <c r="CP135" s="7"/>
      <c r="CQ135" s="7"/>
      <c r="CR135" s="7"/>
      <c r="CS135" s="7"/>
      <c r="CT135" s="7"/>
      <c r="CU135" s="7"/>
      <c r="CV135" s="7"/>
      <c r="CW135" s="7"/>
      <c r="CX135" s="7"/>
      <c r="CY135" s="7"/>
      <c r="CZ135" s="7"/>
      <c r="DA135" s="7"/>
      <c r="DB135" s="7"/>
      <c r="DC135" s="7"/>
      <c r="DD135" s="7"/>
      <c r="DE135" s="7"/>
      <c r="DF135" s="7"/>
      <c r="DG135" s="7"/>
      <c r="DH135" s="7"/>
      <c r="DI135" s="7"/>
      <c r="DJ135" s="7"/>
      <c r="DK135" s="7"/>
      <c r="DL135" s="7"/>
      <c r="DM135" s="7"/>
      <c r="DN135" s="7"/>
      <c r="DO135" s="7"/>
      <c r="DP135" s="7"/>
      <c r="DQ135" s="7"/>
      <c r="DR135" s="7"/>
      <c r="DS135" s="7"/>
      <c r="DT135" s="7"/>
      <c r="DU135" s="7"/>
      <c r="DV135" s="7"/>
      <c r="DW135" s="7"/>
      <c r="DX135" s="7"/>
      <c r="DY135" s="7"/>
      <c r="DZ135" s="7"/>
      <c r="EA135" s="7"/>
      <c r="EB135" s="7"/>
      <c r="EC135" s="7"/>
      <c r="ED135" s="7"/>
      <c r="EE135" s="7"/>
      <c r="EF135" s="7"/>
      <c r="EG135" s="7"/>
      <c r="EH135" s="7"/>
      <c r="EI135" s="7"/>
      <c r="EJ135" s="7"/>
      <c r="EK135" s="7"/>
      <c r="EL135" s="7"/>
      <c r="EM135" s="7"/>
      <c r="EN135" s="7"/>
      <c r="EO135" s="7"/>
      <c r="EP135" s="7"/>
      <c r="EQ135" s="7"/>
      <c r="ER135" s="7"/>
      <c r="ES135" s="7"/>
      <c r="ET135" s="7"/>
      <c r="EU135" s="7"/>
      <c r="EV135" s="7"/>
      <c r="EW135" s="7"/>
      <c r="EX135" s="7"/>
      <c r="EY135" s="7"/>
      <c r="EZ135" s="7"/>
      <c r="FA135" s="7"/>
      <c r="FB135" s="7"/>
      <c r="FC135" s="7"/>
      <c r="FD135" s="7"/>
      <c r="FE135" s="7"/>
      <c r="FF135" s="7"/>
      <c r="FG135" s="7"/>
      <c r="FH135" s="7"/>
      <c r="FI135" s="7"/>
      <c r="FJ135" s="7"/>
      <c r="FK135" s="7"/>
      <c r="FL135" s="7"/>
      <c r="FM135" s="7"/>
      <c r="FN135" s="7"/>
      <c r="FO135" s="7"/>
      <c r="FP135" s="7"/>
      <c r="FQ135" s="7"/>
      <c r="FR135" s="7"/>
      <c r="FS135" s="7"/>
      <c r="FT135" s="7"/>
      <c r="FU135" s="7"/>
      <c r="FV135" s="7"/>
      <c r="FW135" s="7"/>
      <c r="FX135" s="7"/>
      <c r="FY135" s="7"/>
      <c r="FZ135" s="7"/>
      <c r="GA135" s="7"/>
      <c r="GB135" s="7"/>
      <c r="GC135" s="7"/>
      <c r="GD135" s="7"/>
      <c r="GE135" s="7"/>
      <c r="GF135" s="7"/>
      <c r="GG135" s="7"/>
      <c r="GH135" s="7"/>
      <c r="GI135" s="7"/>
      <c r="GJ135" s="7"/>
      <c r="GK135" s="7"/>
      <c r="GL135" s="7"/>
      <c r="GM135" s="7"/>
      <c r="GN135" s="7"/>
      <c r="GO135" s="7"/>
      <c r="GP135" s="7"/>
      <c r="GQ135" s="7"/>
      <c r="GR135" s="7"/>
      <c r="GS135" s="7"/>
      <c r="GT135" s="7"/>
      <c r="GU135" s="7"/>
      <c r="GV135" s="7"/>
      <c r="GW135" s="7"/>
      <c r="GX135" s="7"/>
      <c r="GY135" s="7"/>
      <c r="GZ135" s="7"/>
      <c r="HA135" s="7"/>
      <c r="HB135" s="7"/>
      <c r="HC135" s="7"/>
      <c r="HD135" s="7"/>
      <c r="HE135" s="7"/>
      <c r="HF135" s="7"/>
      <c r="HG135" s="7"/>
      <c r="HH135" s="7"/>
      <c r="HI135" s="7"/>
      <c r="HJ135" s="7"/>
      <c r="HK135" s="7"/>
      <c r="HL135" s="7"/>
      <c r="HM135" s="7"/>
      <c r="HN135" s="7"/>
      <c r="HO135" s="7"/>
      <c r="HP135" s="7"/>
      <c r="HQ135" s="7"/>
      <c r="HR135" s="7"/>
      <c r="HS135" s="7"/>
      <c r="HT135" s="7"/>
      <c r="HU135" s="7"/>
      <c r="HV135" s="7"/>
      <c r="HW135" s="7"/>
      <c r="HX135" s="7"/>
      <c r="HY135" s="7"/>
    </row>
    <row r="136" spans="1:233">
      <c r="A136" s="56" t="s">
        <v>178</v>
      </c>
      <c r="B136" s="56" t="s">
        <v>179</v>
      </c>
      <c r="C136" s="56" t="s">
        <v>28</v>
      </c>
      <c r="D136" s="60">
        <v>784</v>
      </c>
      <c r="E136" s="63" t="s">
        <v>22</v>
      </c>
      <c r="F136" s="66" t="s">
        <v>11</v>
      </c>
      <c r="G136" s="58" t="s">
        <v>110</v>
      </c>
      <c r="H136" s="59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7"/>
      <c r="BV136" s="7"/>
      <c r="BW136" s="7"/>
      <c r="BX136" s="7"/>
      <c r="BY136" s="7"/>
      <c r="BZ136" s="7"/>
      <c r="CA136" s="7"/>
      <c r="CB136" s="7"/>
      <c r="CC136" s="7"/>
      <c r="CD136" s="7"/>
      <c r="CE136" s="7"/>
      <c r="CF136" s="7"/>
      <c r="CG136" s="7"/>
      <c r="CH136" s="7"/>
      <c r="CI136" s="7"/>
      <c r="CJ136" s="7"/>
      <c r="CK136" s="7"/>
      <c r="CL136" s="7"/>
      <c r="CM136" s="7"/>
      <c r="CN136" s="7"/>
      <c r="CO136" s="7"/>
      <c r="CP136" s="7"/>
      <c r="CQ136" s="7"/>
      <c r="CR136" s="7"/>
      <c r="CS136" s="7"/>
      <c r="CT136" s="7"/>
      <c r="CU136" s="7"/>
      <c r="CV136" s="7"/>
      <c r="CW136" s="7"/>
      <c r="CX136" s="7"/>
      <c r="CY136" s="7"/>
      <c r="CZ136" s="7"/>
      <c r="DA136" s="7"/>
      <c r="DB136" s="7"/>
      <c r="DC136" s="7"/>
      <c r="DD136" s="7"/>
      <c r="DE136" s="7"/>
      <c r="DF136" s="7"/>
      <c r="DG136" s="7"/>
      <c r="DH136" s="7"/>
      <c r="DI136" s="7"/>
      <c r="DJ136" s="7"/>
      <c r="DK136" s="7"/>
      <c r="DL136" s="7"/>
      <c r="DM136" s="7"/>
      <c r="DN136" s="7"/>
      <c r="DO136" s="7"/>
      <c r="DP136" s="7"/>
      <c r="DQ136" s="7"/>
      <c r="DR136" s="7"/>
      <c r="DS136" s="7"/>
      <c r="DT136" s="7"/>
      <c r="DU136" s="7"/>
      <c r="DV136" s="7"/>
      <c r="DW136" s="7"/>
      <c r="DX136" s="7"/>
      <c r="DY136" s="7"/>
      <c r="DZ136" s="7"/>
      <c r="EA136" s="7"/>
      <c r="EB136" s="7"/>
      <c r="EC136" s="7"/>
      <c r="ED136" s="7"/>
      <c r="EE136" s="7"/>
      <c r="EF136" s="7"/>
      <c r="EG136" s="7"/>
      <c r="EH136" s="7"/>
      <c r="EI136" s="7"/>
      <c r="EJ136" s="7"/>
      <c r="EK136" s="7"/>
      <c r="EL136" s="7"/>
      <c r="EM136" s="7"/>
      <c r="EN136" s="7"/>
      <c r="EO136" s="7"/>
      <c r="EP136" s="7"/>
      <c r="EQ136" s="7"/>
      <c r="ER136" s="7"/>
      <c r="ES136" s="7"/>
      <c r="ET136" s="7"/>
      <c r="EU136" s="7"/>
      <c r="EV136" s="7"/>
      <c r="EW136" s="7"/>
      <c r="EX136" s="7"/>
      <c r="EY136" s="7"/>
      <c r="EZ136" s="7"/>
      <c r="FA136" s="7"/>
      <c r="FB136" s="7"/>
      <c r="FC136" s="7"/>
      <c r="FD136" s="7"/>
      <c r="FE136" s="7"/>
      <c r="FF136" s="7"/>
      <c r="FG136" s="7"/>
      <c r="FH136" s="7"/>
      <c r="FI136" s="7"/>
      <c r="FJ136" s="7"/>
      <c r="FK136" s="7"/>
      <c r="FL136" s="7"/>
      <c r="FM136" s="7"/>
      <c r="FN136" s="7"/>
      <c r="FO136" s="7"/>
      <c r="FP136" s="7"/>
      <c r="FQ136" s="7"/>
      <c r="FR136" s="7"/>
      <c r="FS136" s="7"/>
      <c r="FT136" s="7"/>
      <c r="FU136" s="7"/>
      <c r="FV136" s="7"/>
      <c r="FW136" s="7"/>
      <c r="FX136" s="7"/>
      <c r="FY136" s="7"/>
      <c r="FZ136" s="7"/>
      <c r="GA136" s="7"/>
      <c r="GB136" s="7"/>
      <c r="GC136" s="7"/>
      <c r="GD136" s="7"/>
      <c r="GE136" s="7"/>
      <c r="GF136" s="7"/>
      <c r="GG136" s="7"/>
      <c r="GH136" s="7"/>
      <c r="GI136" s="7"/>
      <c r="GJ136" s="7"/>
      <c r="GK136" s="7"/>
      <c r="GL136" s="7"/>
      <c r="GM136" s="7"/>
      <c r="GN136" s="7"/>
      <c r="GO136" s="7"/>
      <c r="GP136" s="7"/>
      <c r="GQ136" s="7"/>
      <c r="GR136" s="7"/>
      <c r="GS136" s="7"/>
      <c r="GT136" s="7"/>
      <c r="GU136" s="7"/>
      <c r="GV136" s="7"/>
      <c r="GW136" s="7"/>
      <c r="GX136" s="7"/>
      <c r="GY136" s="7"/>
      <c r="GZ136" s="7"/>
      <c r="HA136" s="7"/>
      <c r="HB136" s="7"/>
      <c r="HC136" s="7"/>
      <c r="HD136" s="7"/>
      <c r="HE136" s="7"/>
      <c r="HF136" s="7"/>
      <c r="HG136" s="7"/>
      <c r="HH136" s="7"/>
      <c r="HI136" s="7"/>
      <c r="HJ136" s="7"/>
      <c r="HK136" s="7"/>
      <c r="HL136" s="7"/>
      <c r="HM136" s="7"/>
      <c r="HN136" s="7"/>
      <c r="HO136" s="7"/>
      <c r="HP136" s="7"/>
      <c r="HQ136" s="7"/>
      <c r="HR136" s="7"/>
      <c r="HS136" s="7"/>
      <c r="HT136" s="7"/>
      <c r="HU136" s="7"/>
      <c r="HV136" s="7"/>
      <c r="HW136" s="7"/>
      <c r="HX136" s="7"/>
      <c r="HY136" s="7"/>
    </row>
    <row r="137" spans="1:233">
      <c r="A137" s="56" t="s">
        <v>178</v>
      </c>
      <c r="B137" s="56" t="s">
        <v>179</v>
      </c>
      <c r="C137" s="56" t="s">
        <v>29</v>
      </c>
      <c r="D137" s="60">
        <v>3919.53</v>
      </c>
      <c r="E137" s="63" t="s">
        <v>19</v>
      </c>
      <c r="F137" s="66" t="s">
        <v>11</v>
      </c>
      <c r="G137" s="58" t="s">
        <v>111</v>
      </c>
      <c r="H137" s="59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7"/>
      <c r="BV137" s="7"/>
      <c r="BW137" s="7"/>
      <c r="BX137" s="7"/>
      <c r="BY137" s="7"/>
      <c r="BZ137" s="7"/>
      <c r="CA137" s="7"/>
      <c r="CB137" s="7"/>
      <c r="CC137" s="7"/>
      <c r="CD137" s="7"/>
      <c r="CE137" s="7"/>
      <c r="CF137" s="7"/>
      <c r="CG137" s="7"/>
      <c r="CH137" s="7"/>
      <c r="CI137" s="7"/>
      <c r="CJ137" s="7"/>
      <c r="CK137" s="7"/>
      <c r="CL137" s="7"/>
      <c r="CM137" s="7"/>
      <c r="CN137" s="7"/>
      <c r="CO137" s="7"/>
      <c r="CP137" s="7"/>
      <c r="CQ137" s="7"/>
      <c r="CR137" s="7"/>
      <c r="CS137" s="7"/>
      <c r="CT137" s="7"/>
      <c r="CU137" s="7"/>
      <c r="CV137" s="7"/>
      <c r="CW137" s="7"/>
      <c r="CX137" s="7"/>
      <c r="CY137" s="7"/>
      <c r="CZ137" s="7"/>
      <c r="DA137" s="7"/>
      <c r="DB137" s="7"/>
      <c r="DC137" s="7"/>
      <c r="DD137" s="7"/>
      <c r="DE137" s="7"/>
      <c r="DF137" s="7"/>
      <c r="DG137" s="7"/>
      <c r="DH137" s="7"/>
      <c r="DI137" s="7"/>
      <c r="DJ137" s="7"/>
      <c r="DK137" s="7"/>
      <c r="DL137" s="7"/>
      <c r="DM137" s="7"/>
      <c r="DN137" s="7"/>
      <c r="DO137" s="7"/>
      <c r="DP137" s="7"/>
      <c r="DQ137" s="7"/>
      <c r="DR137" s="7"/>
      <c r="DS137" s="7"/>
      <c r="DT137" s="7"/>
      <c r="DU137" s="7"/>
      <c r="DV137" s="7"/>
      <c r="DW137" s="7"/>
      <c r="DX137" s="7"/>
      <c r="DY137" s="7"/>
      <c r="DZ137" s="7"/>
      <c r="EA137" s="7"/>
      <c r="EB137" s="7"/>
      <c r="EC137" s="7"/>
      <c r="ED137" s="7"/>
      <c r="EE137" s="7"/>
      <c r="EF137" s="7"/>
      <c r="EG137" s="7"/>
      <c r="EH137" s="7"/>
      <c r="EI137" s="7"/>
      <c r="EJ137" s="7"/>
      <c r="EK137" s="7"/>
      <c r="EL137" s="7"/>
      <c r="EM137" s="7"/>
      <c r="EN137" s="7"/>
      <c r="EO137" s="7"/>
      <c r="EP137" s="7"/>
      <c r="EQ137" s="7"/>
      <c r="ER137" s="7"/>
      <c r="ES137" s="7"/>
      <c r="ET137" s="7"/>
      <c r="EU137" s="7"/>
      <c r="EV137" s="7"/>
      <c r="EW137" s="7"/>
      <c r="EX137" s="7"/>
      <c r="EY137" s="7"/>
      <c r="EZ137" s="7"/>
      <c r="FA137" s="7"/>
      <c r="FB137" s="7"/>
      <c r="FC137" s="7"/>
      <c r="FD137" s="7"/>
      <c r="FE137" s="7"/>
      <c r="FF137" s="7"/>
      <c r="FG137" s="7"/>
      <c r="FH137" s="7"/>
      <c r="FI137" s="7"/>
      <c r="FJ137" s="7"/>
      <c r="FK137" s="7"/>
      <c r="FL137" s="7"/>
      <c r="FM137" s="7"/>
      <c r="FN137" s="7"/>
      <c r="FO137" s="7"/>
      <c r="FP137" s="7"/>
      <c r="FQ137" s="7"/>
      <c r="FR137" s="7"/>
      <c r="FS137" s="7"/>
      <c r="FT137" s="7"/>
      <c r="FU137" s="7"/>
      <c r="FV137" s="7"/>
      <c r="FW137" s="7"/>
      <c r="FX137" s="7"/>
      <c r="FY137" s="7"/>
      <c r="FZ137" s="7"/>
      <c r="GA137" s="7"/>
      <c r="GB137" s="7"/>
      <c r="GC137" s="7"/>
      <c r="GD137" s="7"/>
      <c r="GE137" s="7"/>
      <c r="GF137" s="7"/>
      <c r="GG137" s="7"/>
      <c r="GH137" s="7"/>
      <c r="GI137" s="7"/>
      <c r="GJ137" s="7"/>
      <c r="GK137" s="7"/>
      <c r="GL137" s="7"/>
      <c r="GM137" s="7"/>
      <c r="GN137" s="7"/>
      <c r="GO137" s="7"/>
      <c r="GP137" s="7"/>
      <c r="GQ137" s="7"/>
      <c r="GR137" s="7"/>
      <c r="GS137" s="7"/>
      <c r="GT137" s="7"/>
      <c r="GU137" s="7"/>
      <c r="GV137" s="7"/>
      <c r="GW137" s="7"/>
      <c r="GX137" s="7"/>
      <c r="GY137" s="7"/>
      <c r="GZ137" s="7"/>
      <c r="HA137" s="7"/>
      <c r="HB137" s="7"/>
      <c r="HC137" s="7"/>
      <c r="HD137" s="7"/>
      <c r="HE137" s="7"/>
      <c r="HF137" s="7"/>
      <c r="HG137" s="7"/>
      <c r="HH137" s="7"/>
      <c r="HI137" s="7"/>
      <c r="HJ137" s="7"/>
      <c r="HK137" s="7"/>
      <c r="HL137" s="7"/>
      <c r="HM137" s="7"/>
      <c r="HN137" s="7"/>
      <c r="HO137" s="7"/>
      <c r="HP137" s="7"/>
      <c r="HQ137" s="7"/>
      <c r="HR137" s="7"/>
      <c r="HS137" s="7"/>
      <c r="HT137" s="7"/>
      <c r="HU137" s="7"/>
      <c r="HV137" s="7"/>
      <c r="HW137" s="7"/>
      <c r="HX137" s="7"/>
      <c r="HY137" s="7"/>
    </row>
    <row r="138" spans="1:233">
      <c r="A138" s="56" t="s">
        <v>180</v>
      </c>
      <c r="B138" s="56" t="s">
        <v>181</v>
      </c>
      <c r="C138" s="56" t="s">
        <v>67</v>
      </c>
      <c r="D138" s="60">
        <v>123445.55</v>
      </c>
      <c r="E138" s="63" t="s">
        <v>21</v>
      </c>
      <c r="F138" s="66" t="s">
        <v>7</v>
      </c>
      <c r="G138" s="58" t="s">
        <v>191</v>
      </c>
      <c r="H138" s="59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/>
      <c r="BV138" s="7"/>
      <c r="BW138" s="7"/>
      <c r="BX138" s="7"/>
      <c r="BY138" s="7"/>
      <c r="BZ138" s="7"/>
      <c r="CA138" s="7"/>
      <c r="CB138" s="7"/>
      <c r="CC138" s="7"/>
      <c r="CD138" s="7"/>
      <c r="CE138" s="7"/>
      <c r="CF138" s="7"/>
      <c r="CG138" s="7"/>
      <c r="CH138" s="7"/>
      <c r="CI138" s="7"/>
      <c r="CJ138" s="7"/>
      <c r="CK138" s="7"/>
      <c r="CL138" s="7"/>
      <c r="CM138" s="7"/>
      <c r="CN138" s="7"/>
      <c r="CO138" s="7"/>
      <c r="CP138" s="7"/>
      <c r="CQ138" s="7"/>
      <c r="CR138" s="7"/>
      <c r="CS138" s="7"/>
      <c r="CT138" s="7"/>
      <c r="CU138" s="7"/>
      <c r="CV138" s="7"/>
      <c r="CW138" s="7"/>
      <c r="CX138" s="7"/>
      <c r="CY138" s="7"/>
      <c r="CZ138" s="7"/>
      <c r="DA138" s="7"/>
      <c r="DB138" s="7"/>
      <c r="DC138" s="7"/>
      <c r="DD138" s="7"/>
      <c r="DE138" s="7"/>
      <c r="DF138" s="7"/>
      <c r="DG138" s="7"/>
      <c r="DH138" s="7"/>
      <c r="DI138" s="7"/>
      <c r="DJ138" s="7"/>
      <c r="DK138" s="7"/>
      <c r="DL138" s="7"/>
      <c r="DM138" s="7"/>
      <c r="DN138" s="7"/>
      <c r="DO138" s="7"/>
      <c r="DP138" s="7"/>
      <c r="DQ138" s="7"/>
      <c r="DR138" s="7"/>
      <c r="DS138" s="7"/>
      <c r="DT138" s="7"/>
      <c r="DU138" s="7"/>
      <c r="DV138" s="7"/>
      <c r="DW138" s="7"/>
      <c r="DX138" s="7"/>
      <c r="DY138" s="7"/>
      <c r="DZ138" s="7"/>
      <c r="EA138" s="7"/>
      <c r="EB138" s="7"/>
      <c r="EC138" s="7"/>
      <c r="ED138" s="7"/>
      <c r="EE138" s="7"/>
      <c r="EF138" s="7"/>
      <c r="EG138" s="7"/>
      <c r="EH138" s="7"/>
      <c r="EI138" s="7"/>
      <c r="EJ138" s="7"/>
      <c r="EK138" s="7"/>
      <c r="EL138" s="7"/>
      <c r="EM138" s="7"/>
      <c r="EN138" s="7"/>
      <c r="EO138" s="7"/>
      <c r="EP138" s="7"/>
      <c r="EQ138" s="7"/>
      <c r="ER138" s="7"/>
      <c r="ES138" s="7"/>
      <c r="ET138" s="7"/>
      <c r="EU138" s="7"/>
      <c r="EV138" s="7"/>
      <c r="EW138" s="7"/>
      <c r="EX138" s="7"/>
      <c r="EY138" s="7"/>
      <c r="EZ138" s="7"/>
      <c r="FA138" s="7"/>
      <c r="FB138" s="7"/>
      <c r="FC138" s="7"/>
      <c r="FD138" s="7"/>
      <c r="FE138" s="7"/>
      <c r="FF138" s="7"/>
      <c r="FG138" s="7"/>
      <c r="FH138" s="7"/>
      <c r="FI138" s="7"/>
      <c r="FJ138" s="7"/>
      <c r="FK138" s="7"/>
      <c r="FL138" s="7"/>
      <c r="FM138" s="7"/>
      <c r="FN138" s="7"/>
      <c r="FO138" s="7"/>
      <c r="FP138" s="7"/>
      <c r="FQ138" s="7"/>
      <c r="FR138" s="7"/>
      <c r="FS138" s="7"/>
      <c r="FT138" s="7"/>
      <c r="FU138" s="7"/>
      <c r="FV138" s="7"/>
      <c r="FW138" s="7"/>
      <c r="FX138" s="7"/>
      <c r="FY138" s="7"/>
      <c r="FZ138" s="7"/>
      <c r="GA138" s="7"/>
      <c r="GB138" s="7"/>
      <c r="GC138" s="7"/>
      <c r="GD138" s="7"/>
      <c r="GE138" s="7"/>
      <c r="GF138" s="7"/>
      <c r="GG138" s="7"/>
      <c r="GH138" s="7"/>
      <c r="GI138" s="7"/>
      <c r="GJ138" s="7"/>
      <c r="GK138" s="7"/>
      <c r="GL138" s="7"/>
      <c r="GM138" s="7"/>
      <c r="GN138" s="7"/>
      <c r="GO138" s="7"/>
      <c r="GP138" s="7"/>
      <c r="GQ138" s="7"/>
      <c r="GR138" s="7"/>
      <c r="GS138" s="7"/>
      <c r="GT138" s="7"/>
      <c r="GU138" s="7"/>
      <c r="GV138" s="7"/>
      <c r="GW138" s="7"/>
      <c r="GX138" s="7"/>
      <c r="GY138" s="7"/>
      <c r="GZ138" s="7"/>
      <c r="HA138" s="7"/>
      <c r="HB138" s="7"/>
      <c r="HC138" s="7"/>
      <c r="HD138" s="7"/>
      <c r="HE138" s="7"/>
      <c r="HF138" s="7"/>
      <c r="HG138" s="7"/>
      <c r="HH138" s="7"/>
      <c r="HI138" s="7"/>
      <c r="HJ138" s="7"/>
      <c r="HK138" s="7"/>
      <c r="HL138" s="7"/>
      <c r="HM138" s="7"/>
      <c r="HN138" s="7"/>
      <c r="HO138" s="7"/>
      <c r="HP138" s="7"/>
      <c r="HQ138" s="7"/>
      <c r="HR138" s="7"/>
      <c r="HS138" s="7"/>
      <c r="HT138" s="7"/>
      <c r="HU138" s="7"/>
      <c r="HV138" s="7"/>
      <c r="HW138" s="7"/>
      <c r="HX138" s="7"/>
      <c r="HY138" s="7"/>
    </row>
    <row r="139" spans="1:233">
      <c r="A139" s="56" t="s">
        <v>180</v>
      </c>
      <c r="B139" s="56" t="s">
        <v>181</v>
      </c>
      <c r="C139" s="56" t="s">
        <v>28</v>
      </c>
      <c r="D139" s="60">
        <v>784</v>
      </c>
      <c r="E139" s="63" t="s">
        <v>22</v>
      </c>
      <c r="F139" s="66" t="s">
        <v>7</v>
      </c>
      <c r="G139" s="58" t="s">
        <v>158</v>
      </c>
      <c r="H139" s="59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/>
      <c r="BV139" s="7"/>
      <c r="BW139" s="7"/>
      <c r="BX139" s="7"/>
      <c r="BY139" s="7"/>
      <c r="BZ139" s="7"/>
      <c r="CA139" s="7"/>
      <c r="CB139" s="7"/>
      <c r="CC139" s="7"/>
      <c r="CD139" s="7"/>
      <c r="CE139" s="7"/>
      <c r="CF139" s="7"/>
      <c r="CG139" s="7"/>
      <c r="CH139" s="7"/>
      <c r="CI139" s="7"/>
      <c r="CJ139" s="7"/>
      <c r="CK139" s="7"/>
      <c r="CL139" s="7"/>
      <c r="CM139" s="7"/>
      <c r="CN139" s="7"/>
      <c r="CO139" s="7"/>
      <c r="CP139" s="7"/>
      <c r="CQ139" s="7"/>
      <c r="CR139" s="7"/>
      <c r="CS139" s="7"/>
      <c r="CT139" s="7"/>
      <c r="CU139" s="7"/>
      <c r="CV139" s="7"/>
      <c r="CW139" s="7"/>
      <c r="CX139" s="7"/>
      <c r="CY139" s="7"/>
      <c r="CZ139" s="7"/>
      <c r="DA139" s="7"/>
      <c r="DB139" s="7"/>
      <c r="DC139" s="7"/>
      <c r="DD139" s="7"/>
      <c r="DE139" s="7"/>
      <c r="DF139" s="7"/>
      <c r="DG139" s="7"/>
      <c r="DH139" s="7"/>
      <c r="DI139" s="7"/>
      <c r="DJ139" s="7"/>
      <c r="DK139" s="7"/>
      <c r="DL139" s="7"/>
      <c r="DM139" s="7"/>
      <c r="DN139" s="7"/>
      <c r="DO139" s="7"/>
      <c r="DP139" s="7"/>
      <c r="DQ139" s="7"/>
      <c r="DR139" s="7"/>
      <c r="DS139" s="7"/>
      <c r="DT139" s="7"/>
      <c r="DU139" s="7"/>
      <c r="DV139" s="7"/>
      <c r="DW139" s="7"/>
      <c r="DX139" s="7"/>
      <c r="DY139" s="7"/>
      <c r="DZ139" s="7"/>
      <c r="EA139" s="7"/>
      <c r="EB139" s="7"/>
      <c r="EC139" s="7"/>
      <c r="ED139" s="7"/>
      <c r="EE139" s="7"/>
      <c r="EF139" s="7"/>
      <c r="EG139" s="7"/>
      <c r="EH139" s="7"/>
      <c r="EI139" s="7"/>
      <c r="EJ139" s="7"/>
      <c r="EK139" s="7"/>
      <c r="EL139" s="7"/>
      <c r="EM139" s="7"/>
      <c r="EN139" s="7"/>
      <c r="EO139" s="7"/>
      <c r="EP139" s="7"/>
      <c r="EQ139" s="7"/>
      <c r="ER139" s="7"/>
      <c r="ES139" s="7"/>
      <c r="ET139" s="7"/>
      <c r="EU139" s="7"/>
      <c r="EV139" s="7"/>
      <c r="EW139" s="7"/>
      <c r="EX139" s="7"/>
      <c r="EY139" s="7"/>
      <c r="EZ139" s="7"/>
      <c r="FA139" s="7"/>
      <c r="FB139" s="7"/>
      <c r="FC139" s="7"/>
      <c r="FD139" s="7"/>
      <c r="FE139" s="7"/>
      <c r="FF139" s="7"/>
      <c r="FG139" s="7"/>
      <c r="FH139" s="7"/>
      <c r="FI139" s="7"/>
      <c r="FJ139" s="7"/>
      <c r="FK139" s="7"/>
      <c r="FL139" s="7"/>
      <c r="FM139" s="7"/>
      <c r="FN139" s="7"/>
      <c r="FO139" s="7"/>
      <c r="FP139" s="7"/>
      <c r="FQ139" s="7"/>
      <c r="FR139" s="7"/>
      <c r="FS139" s="7"/>
      <c r="FT139" s="7"/>
      <c r="FU139" s="7"/>
      <c r="FV139" s="7"/>
      <c r="FW139" s="7"/>
      <c r="FX139" s="7"/>
      <c r="FY139" s="7"/>
      <c r="FZ139" s="7"/>
      <c r="GA139" s="7"/>
      <c r="GB139" s="7"/>
      <c r="GC139" s="7"/>
      <c r="GD139" s="7"/>
      <c r="GE139" s="7"/>
      <c r="GF139" s="7"/>
      <c r="GG139" s="7"/>
      <c r="GH139" s="7"/>
      <c r="GI139" s="7"/>
      <c r="GJ139" s="7"/>
      <c r="GK139" s="7"/>
      <c r="GL139" s="7"/>
      <c r="GM139" s="7"/>
      <c r="GN139" s="7"/>
      <c r="GO139" s="7"/>
      <c r="GP139" s="7"/>
      <c r="GQ139" s="7"/>
      <c r="GR139" s="7"/>
      <c r="GS139" s="7"/>
      <c r="GT139" s="7"/>
      <c r="GU139" s="7"/>
      <c r="GV139" s="7"/>
      <c r="GW139" s="7"/>
      <c r="GX139" s="7"/>
      <c r="GY139" s="7"/>
      <c r="GZ139" s="7"/>
      <c r="HA139" s="7"/>
      <c r="HB139" s="7"/>
      <c r="HC139" s="7"/>
      <c r="HD139" s="7"/>
      <c r="HE139" s="7"/>
      <c r="HF139" s="7"/>
      <c r="HG139" s="7"/>
      <c r="HH139" s="7"/>
      <c r="HI139" s="7"/>
      <c r="HJ139" s="7"/>
      <c r="HK139" s="7"/>
      <c r="HL139" s="7"/>
      <c r="HM139" s="7"/>
      <c r="HN139" s="7"/>
      <c r="HO139" s="7"/>
      <c r="HP139" s="7"/>
      <c r="HQ139" s="7"/>
      <c r="HR139" s="7"/>
      <c r="HS139" s="7"/>
      <c r="HT139" s="7"/>
      <c r="HU139" s="7"/>
      <c r="HV139" s="7"/>
      <c r="HW139" s="7"/>
      <c r="HX139" s="7"/>
      <c r="HY139" s="7"/>
    </row>
    <row r="140" spans="1:233">
      <c r="A140" s="56" t="s">
        <v>180</v>
      </c>
      <c r="B140" s="56" t="s">
        <v>181</v>
      </c>
      <c r="C140" s="56" t="s">
        <v>29</v>
      </c>
      <c r="D140" s="60">
        <v>3919.53</v>
      </c>
      <c r="E140" s="63" t="s">
        <v>19</v>
      </c>
      <c r="F140" s="66" t="s">
        <v>7</v>
      </c>
      <c r="G140" s="58" t="s">
        <v>159</v>
      </c>
      <c r="H140" s="59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7"/>
      <c r="BV140" s="7"/>
      <c r="BW140" s="7"/>
      <c r="BX140" s="7"/>
      <c r="BY140" s="7"/>
      <c r="BZ140" s="7"/>
      <c r="CA140" s="7"/>
      <c r="CB140" s="7"/>
      <c r="CC140" s="7"/>
      <c r="CD140" s="7"/>
      <c r="CE140" s="7"/>
      <c r="CF140" s="7"/>
      <c r="CG140" s="7"/>
      <c r="CH140" s="7"/>
      <c r="CI140" s="7"/>
      <c r="CJ140" s="7"/>
      <c r="CK140" s="7"/>
      <c r="CL140" s="7"/>
      <c r="CM140" s="7"/>
      <c r="CN140" s="7"/>
      <c r="CO140" s="7"/>
      <c r="CP140" s="7"/>
      <c r="CQ140" s="7"/>
      <c r="CR140" s="7"/>
      <c r="CS140" s="7"/>
      <c r="CT140" s="7"/>
      <c r="CU140" s="7"/>
      <c r="CV140" s="7"/>
      <c r="CW140" s="7"/>
      <c r="CX140" s="7"/>
      <c r="CY140" s="7"/>
      <c r="CZ140" s="7"/>
      <c r="DA140" s="7"/>
      <c r="DB140" s="7"/>
      <c r="DC140" s="7"/>
      <c r="DD140" s="7"/>
      <c r="DE140" s="7"/>
      <c r="DF140" s="7"/>
      <c r="DG140" s="7"/>
      <c r="DH140" s="7"/>
      <c r="DI140" s="7"/>
      <c r="DJ140" s="7"/>
      <c r="DK140" s="7"/>
      <c r="DL140" s="7"/>
      <c r="DM140" s="7"/>
      <c r="DN140" s="7"/>
      <c r="DO140" s="7"/>
      <c r="DP140" s="7"/>
      <c r="DQ140" s="7"/>
      <c r="DR140" s="7"/>
      <c r="DS140" s="7"/>
      <c r="DT140" s="7"/>
      <c r="DU140" s="7"/>
      <c r="DV140" s="7"/>
      <c r="DW140" s="7"/>
      <c r="DX140" s="7"/>
      <c r="DY140" s="7"/>
      <c r="DZ140" s="7"/>
      <c r="EA140" s="7"/>
      <c r="EB140" s="7"/>
      <c r="EC140" s="7"/>
      <c r="ED140" s="7"/>
      <c r="EE140" s="7"/>
      <c r="EF140" s="7"/>
      <c r="EG140" s="7"/>
      <c r="EH140" s="7"/>
      <c r="EI140" s="7"/>
      <c r="EJ140" s="7"/>
      <c r="EK140" s="7"/>
      <c r="EL140" s="7"/>
      <c r="EM140" s="7"/>
      <c r="EN140" s="7"/>
      <c r="EO140" s="7"/>
      <c r="EP140" s="7"/>
      <c r="EQ140" s="7"/>
      <c r="ER140" s="7"/>
      <c r="ES140" s="7"/>
      <c r="ET140" s="7"/>
      <c r="EU140" s="7"/>
      <c r="EV140" s="7"/>
      <c r="EW140" s="7"/>
      <c r="EX140" s="7"/>
      <c r="EY140" s="7"/>
      <c r="EZ140" s="7"/>
      <c r="FA140" s="7"/>
      <c r="FB140" s="7"/>
      <c r="FC140" s="7"/>
      <c r="FD140" s="7"/>
      <c r="FE140" s="7"/>
      <c r="FF140" s="7"/>
      <c r="FG140" s="7"/>
      <c r="FH140" s="7"/>
      <c r="FI140" s="7"/>
      <c r="FJ140" s="7"/>
      <c r="FK140" s="7"/>
      <c r="FL140" s="7"/>
      <c r="FM140" s="7"/>
      <c r="FN140" s="7"/>
      <c r="FO140" s="7"/>
      <c r="FP140" s="7"/>
      <c r="FQ140" s="7"/>
      <c r="FR140" s="7"/>
      <c r="FS140" s="7"/>
      <c r="FT140" s="7"/>
      <c r="FU140" s="7"/>
      <c r="FV140" s="7"/>
      <c r="FW140" s="7"/>
      <c r="FX140" s="7"/>
      <c r="FY140" s="7"/>
      <c r="FZ140" s="7"/>
      <c r="GA140" s="7"/>
      <c r="GB140" s="7"/>
      <c r="GC140" s="7"/>
      <c r="GD140" s="7"/>
      <c r="GE140" s="7"/>
      <c r="GF140" s="7"/>
      <c r="GG140" s="7"/>
      <c r="GH140" s="7"/>
      <c r="GI140" s="7"/>
      <c r="GJ140" s="7"/>
      <c r="GK140" s="7"/>
      <c r="GL140" s="7"/>
      <c r="GM140" s="7"/>
      <c r="GN140" s="7"/>
      <c r="GO140" s="7"/>
      <c r="GP140" s="7"/>
      <c r="GQ140" s="7"/>
      <c r="GR140" s="7"/>
      <c r="GS140" s="7"/>
      <c r="GT140" s="7"/>
      <c r="GU140" s="7"/>
      <c r="GV140" s="7"/>
      <c r="GW140" s="7"/>
      <c r="GX140" s="7"/>
      <c r="GY140" s="7"/>
      <c r="GZ140" s="7"/>
      <c r="HA140" s="7"/>
      <c r="HB140" s="7"/>
      <c r="HC140" s="7"/>
      <c r="HD140" s="7"/>
      <c r="HE140" s="7"/>
      <c r="HF140" s="7"/>
      <c r="HG140" s="7"/>
      <c r="HH140" s="7"/>
      <c r="HI140" s="7"/>
      <c r="HJ140" s="7"/>
      <c r="HK140" s="7"/>
      <c r="HL140" s="7"/>
      <c r="HM140" s="7"/>
      <c r="HN140" s="7"/>
      <c r="HO140" s="7"/>
      <c r="HP140" s="7"/>
      <c r="HQ140" s="7"/>
      <c r="HR140" s="7"/>
      <c r="HS140" s="7"/>
      <c r="HT140" s="7"/>
      <c r="HU140" s="7"/>
      <c r="HV140" s="7"/>
      <c r="HW140" s="7"/>
      <c r="HX140" s="7"/>
      <c r="HY140" s="7"/>
    </row>
    <row r="141" spans="1:233">
      <c r="A141" s="56" t="s">
        <v>182</v>
      </c>
      <c r="B141" s="56" t="s">
        <v>183</v>
      </c>
      <c r="C141" s="56" t="s">
        <v>67</v>
      </c>
      <c r="D141" s="60">
        <v>226116.3</v>
      </c>
      <c r="E141" s="63" t="s">
        <v>21</v>
      </c>
      <c r="F141" s="66" t="s">
        <v>11</v>
      </c>
      <c r="G141" s="58" t="s">
        <v>109</v>
      </c>
      <c r="H141" s="59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7"/>
      <c r="BV141" s="7"/>
      <c r="BW141" s="7"/>
      <c r="BX141" s="7"/>
      <c r="BY141" s="7"/>
      <c r="BZ141" s="7"/>
      <c r="CA141" s="7"/>
      <c r="CB141" s="7"/>
      <c r="CC141" s="7"/>
      <c r="CD141" s="7"/>
      <c r="CE141" s="7"/>
      <c r="CF141" s="7"/>
      <c r="CG141" s="7"/>
      <c r="CH141" s="7"/>
      <c r="CI141" s="7"/>
      <c r="CJ141" s="7"/>
      <c r="CK141" s="7"/>
      <c r="CL141" s="7"/>
      <c r="CM141" s="7"/>
      <c r="CN141" s="7"/>
      <c r="CO141" s="7"/>
      <c r="CP141" s="7"/>
      <c r="CQ141" s="7"/>
      <c r="CR141" s="7"/>
      <c r="CS141" s="7"/>
      <c r="CT141" s="7"/>
      <c r="CU141" s="7"/>
      <c r="CV141" s="7"/>
      <c r="CW141" s="7"/>
      <c r="CX141" s="7"/>
      <c r="CY141" s="7"/>
      <c r="CZ141" s="7"/>
      <c r="DA141" s="7"/>
      <c r="DB141" s="7"/>
      <c r="DC141" s="7"/>
      <c r="DD141" s="7"/>
      <c r="DE141" s="7"/>
      <c r="DF141" s="7"/>
      <c r="DG141" s="7"/>
      <c r="DH141" s="7"/>
      <c r="DI141" s="7"/>
      <c r="DJ141" s="7"/>
      <c r="DK141" s="7"/>
      <c r="DL141" s="7"/>
      <c r="DM141" s="7"/>
      <c r="DN141" s="7"/>
      <c r="DO141" s="7"/>
      <c r="DP141" s="7"/>
      <c r="DQ141" s="7"/>
      <c r="DR141" s="7"/>
      <c r="DS141" s="7"/>
      <c r="DT141" s="7"/>
      <c r="DU141" s="7"/>
      <c r="DV141" s="7"/>
      <c r="DW141" s="7"/>
      <c r="DX141" s="7"/>
      <c r="DY141" s="7"/>
      <c r="DZ141" s="7"/>
      <c r="EA141" s="7"/>
      <c r="EB141" s="7"/>
      <c r="EC141" s="7"/>
      <c r="ED141" s="7"/>
      <c r="EE141" s="7"/>
      <c r="EF141" s="7"/>
      <c r="EG141" s="7"/>
      <c r="EH141" s="7"/>
      <c r="EI141" s="7"/>
      <c r="EJ141" s="7"/>
      <c r="EK141" s="7"/>
      <c r="EL141" s="7"/>
      <c r="EM141" s="7"/>
      <c r="EN141" s="7"/>
      <c r="EO141" s="7"/>
      <c r="EP141" s="7"/>
      <c r="EQ141" s="7"/>
      <c r="ER141" s="7"/>
      <c r="ES141" s="7"/>
      <c r="ET141" s="7"/>
      <c r="EU141" s="7"/>
      <c r="EV141" s="7"/>
      <c r="EW141" s="7"/>
      <c r="EX141" s="7"/>
      <c r="EY141" s="7"/>
      <c r="EZ141" s="7"/>
      <c r="FA141" s="7"/>
      <c r="FB141" s="7"/>
      <c r="FC141" s="7"/>
      <c r="FD141" s="7"/>
      <c r="FE141" s="7"/>
      <c r="FF141" s="7"/>
      <c r="FG141" s="7"/>
      <c r="FH141" s="7"/>
      <c r="FI141" s="7"/>
      <c r="FJ141" s="7"/>
      <c r="FK141" s="7"/>
      <c r="FL141" s="7"/>
      <c r="FM141" s="7"/>
      <c r="FN141" s="7"/>
      <c r="FO141" s="7"/>
      <c r="FP141" s="7"/>
      <c r="FQ141" s="7"/>
      <c r="FR141" s="7"/>
      <c r="FS141" s="7"/>
      <c r="FT141" s="7"/>
      <c r="FU141" s="7"/>
      <c r="FV141" s="7"/>
      <c r="FW141" s="7"/>
      <c r="FX141" s="7"/>
      <c r="FY141" s="7"/>
      <c r="FZ141" s="7"/>
      <c r="GA141" s="7"/>
      <c r="GB141" s="7"/>
      <c r="GC141" s="7"/>
      <c r="GD141" s="7"/>
      <c r="GE141" s="7"/>
      <c r="GF141" s="7"/>
      <c r="GG141" s="7"/>
      <c r="GH141" s="7"/>
      <c r="GI141" s="7"/>
      <c r="GJ141" s="7"/>
      <c r="GK141" s="7"/>
      <c r="GL141" s="7"/>
      <c r="GM141" s="7"/>
      <c r="GN141" s="7"/>
      <c r="GO141" s="7"/>
      <c r="GP141" s="7"/>
      <c r="GQ141" s="7"/>
      <c r="GR141" s="7"/>
      <c r="GS141" s="7"/>
      <c r="GT141" s="7"/>
      <c r="GU141" s="7"/>
      <c r="GV141" s="7"/>
      <c r="GW141" s="7"/>
      <c r="GX141" s="7"/>
      <c r="GY141" s="7"/>
      <c r="GZ141" s="7"/>
      <c r="HA141" s="7"/>
      <c r="HB141" s="7"/>
      <c r="HC141" s="7"/>
      <c r="HD141" s="7"/>
      <c r="HE141" s="7"/>
      <c r="HF141" s="7"/>
      <c r="HG141" s="7"/>
      <c r="HH141" s="7"/>
      <c r="HI141" s="7"/>
      <c r="HJ141" s="7"/>
      <c r="HK141" s="7"/>
      <c r="HL141" s="7"/>
      <c r="HM141" s="7"/>
      <c r="HN141" s="7"/>
      <c r="HO141" s="7"/>
      <c r="HP141" s="7"/>
      <c r="HQ141" s="7"/>
      <c r="HR141" s="7"/>
      <c r="HS141" s="7"/>
      <c r="HT141" s="7"/>
      <c r="HU141" s="7"/>
      <c r="HV141" s="7"/>
      <c r="HW141" s="7"/>
      <c r="HX141" s="7"/>
      <c r="HY141" s="7"/>
    </row>
    <row r="142" spans="1:233">
      <c r="A142" s="56" t="s">
        <v>182</v>
      </c>
      <c r="B142" s="56" t="s">
        <v>183</v>
      </c>
      <c r="C142" s="56" t="s">
        <v>28</v>
      </c>
      <c r="D142" s="60">
        <v>784</v>
      </c>
      <c r="E142" s="63" t="s">
        <v>22</v>
      </c>
      <c r="F142" s="66" t="s">
        <v>11</v>
      </c>
      <c r="G142" s="58" t="s">
        <v>110</v>
      </c>
      <c r="H142" s="59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7"/>
      <c r="BV142" s="7"/>
      <c r="BW142" s="7"/>
      <c r="BX142" s="7"/>
      <c r="BY142" s="7"/>
      <c r="BZ142" s="7"/>
      <c r="CA142" s="7"/>
      <c r="CB142" s="7"/>
      <c r="CC142" s="7"/>
      <c r="CD142" s="7"/>
      <c r="CE142" s="7"/>
      <c r="CF142" s="7"/>
      <c r="CG142" s="7"/>
      <c r="CH142" s="7"/>
      <c r="CI142" s="7"/>
      <c r="CJ142" s="7"/>
      <c r="CK142" s="7"/>
      <c r="CL142" s="7"/>
      <c r="CM142" s="7"/>
      <c r="CN142" s="7"/>
      <c r="CO142" s="7"/>
      <c r="CP142" s="7"/>
      <c r="CQ142" s="7"/>
      <c r="CR142" s="7"/>
      <c r="CS142" s="7"/>
      <c r="CT142" s="7"/>
      <c r="CU142" s="7"/>
      <c r="CV142" s="7"/>
      <c r="CW142" s="7"/>
      <c r="CX142" s="7"/>
      <c r="CY142" s="7"/>
      <c r="CZ142" s="7"/>
      <c r="DA142" s="7"/>
      <c r="DB142" s="7"/>
      <c r="DC142" s="7"/>
      <c r="DD142" s="7"/>
      <c r="DE142" s="7"/>
      <c r="DF142" s="7"/>
      <c r="DG142" s="7"/>
      <c r="DH142" s="7"/>
      <c r="DI142" s="7"/>
      <c r="DJ142" s="7"/>
      <c r="DK142" s="7"/>
      <c r="DL142" s="7"/>
      <c r="DM142" s="7"/>
      <c r="DN142" s="7"/>
      <c r="DO142" s="7"/>
      <c r="DP142" s="7"/>
      <c r="DQ142" s="7"/>
      <c r="DR142" s="7"/>
      <c r="DS142" s="7"/>
      <c r="DT142" s="7"/>
      <c r="DU142" s="7"/>
      <c r="DV142" s="7"/>
      <c r="DW142" s="7"/>
      <c r="DX142" s="7"/>
      <c r="DY142" s="7"/>
      <c r="DZ142" s="7"/>
      <c r="EA142" s="7"/>
      <c r="EB142" s="7"/>
      <c r="EC142" s="7"/>
      <c r="ED142" s="7"/>
      <c r="EE142" s="7"/>
      <c r="EF142" s="7"/>
      <c r="EG142" s="7"/>
      <c r="EH142" s="7"/>
      <c r="EI142" s="7"/>
      <c r="EJ142" s="7"/>
      <c r="EK142" s="7"/>
      <c r="EL142" s="7"/>
      <c r="EM142" s="7"/>
      <c r="EN142" s="7"/>
      <c r="EO142" s="7"/>
      <c r="EP142" s="7"/>
      <c r="EQ142" s="7"/>
      <c r="ER142" s="7"/>
      <c r="ES142" s="7"/>
      <c r="ET142" s="7"/>
      <c r="EU142" s="7"/>
      <c r="EV142" s="7"/>
      <c r="EW142" s="7"/>
      <c r="EX142" s="7"/>
      <c r="EY142" s="7"/>
      <c r="EZ142" s="7"/>
      <c r="FA142" s="7"/>
      <c r="FB142" s="7"/>
      <c r="FC142" s="7"/>
      <c r="FD142" s="7"/>
      <c r="FE142" s="7"/>
      <c r="FF142" s="7"/>
      <c r="FG142" s="7"/>
      <c r="FH142" s="7"/>
      <c r="FI142" s="7"/>
      <c r="FJ142" s="7"/>
      <c r="FK142" s="7"/>
      <c r="FL142" s="7"/>
      <c r="FM142" s="7"/>
      <c r="FN142" s="7"/>
      <c r="FO142" s="7"/>
      <c r="FP142" s="7"/>
      <c r="FQ142" s="7"/>
      <c r="FR142" s="7"/>
      <c r="FS142" s="7"/>
      <c r="FT142" s="7"/>
      <c r="FU142" s="7"/>
      <c r="FV142" s="7"/>
      <c r="FW142" s="7"/>
      <c r="FX142" s="7"/>
      <c r="FY142" s="7"/>
      <c r="FZ142" s="7"/>
      <c r="GA142" s="7"/>
      <c r="GB142" s="7"/>
      <c r="GC142" s="7"/>
      <c r="GD142" s="7"/>
      <c r="GE142" s="7"/>
      <c r="GF142" s="7"/>
      <c r="GG142" s="7"/>
      <c r="GH142" s="7"/>
      <c r="GI142" s="7"/>
      <c r="GJ142" s="7"/>
      <c r="GK142" s="7"/>
      <c r="GL142" s="7"/>
      <c r="GM142" s="7"/>
      <c r="GN142" s="7"/>
      <c r="GO142" s="7"/>
      <c r="GP142" s="7"/>
      <c r="GQ142" s="7"/>
      <c r="GR142" s="7"/>
      <c r="GS142" s="7"/>
      <c r="GT142" s="7"/>
      <c r="GU142" s="7"/>
      <c r="GV142" s="7"/>
      <c r="GW142" s="7"/>
      <c r="GX142" s="7"/>
      <c r="GY142" s="7"/>
      <c r="GZ142" s="7"/>
      <c r="HA142" s="7"/>
      <c r="HB142" s="7"/>
      <c r="HC142" s="7"/>
      <c r="HD142" s="7"/>
      <c r="HE142" s="7"/>
      <c r="HF142" s="7"/>
      <c r="HG142" s="7"/>
      <c r="HH142" s="7"/>
      <c r="HI142" s="7"/>
      <c r="HJ142" s="7"/>
      <c r="HK142" s="7"/>
      <c r="HL142" s="7"/>
      <c r="HM142" s="7"/>
      <c r="HN142" s="7"/>
      <c r="HO142" s="7"/>
      <c r="HP142" s="7"/>
      <c r="HQ142" s="7"/>
      <c r="HR142" s="7"/>
      <c r="HS142" s="7"/>
      <c r="HT142" s="7"/>
      <c r="HU142" s="7"/>
      <c r="HV142" s="7"/>
      <c r="HW142" s="7"/>
      <c r="HX142" s="7"/>
      <c r="HY142" s="7"/>
    </row>
    <row r="143" spans="1:233">
      <c r="A143" s="56" t="s">
        <v>182</v>
      </c>
      <c r="B143" s="56" t="s">
        <v>183</v>
      </c>
      <c r="C143" s="56" t="s">
        <v>29</v>
      </c>
      <c r="D143" s="60">
        <v>3919.53</v>
      </c>
      <c r="E143" s="63" t="s">
        <v>19</v>
      </c>
      <c r="F143" s="66" t="s">
        <v>11</v>
      </c>
      <c r="G143" s="58" t="s">
        <v>111</v>
      </c>
      <c r="H143" s="59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7"/>
      <c r="BV143" s="7"/>
      <c r="BW143" s="7"/>
      <c r="BX143" s="7"/>
      <c r="BY143" s="7"/>
      <c r="BZ143" s="7"/>
      <c r="CA143" s="7"/>
      <c r="CB143" s="7"/>
      <c r="CC143" s="7"/>
      <c r="CD143" s="7"/>
      <c r="CE143" s="7"/>
      <c r="CF143" s="7"/>
      <c r="CG143" s="7"/>
      <c r="CH143" s="7"/>
      <c r="CI143" s="7"/>
      <c r="CJ143" s="7"/>
      <c r="CK143" s="7"/>
      <c r="CL143" s="7"/>
      <c r="CM143" s="7"/>
      <c r="CN143" s="7"/>
      <c r="CO143" s="7"/>
      <c r="CP143" s="7"/>
      <c r="CQ143" s="7"/>
      <c r="CR143" s="7"/>
      <c r="CS143" s="7"/>
      <c r="CT143" s="7"/>
      <c r="CU143" s="7"/>
      <c r="CV143" s="7"/>
      <c r="CW143" s="7"/>
      <c r="CX143" s="7"/>
      <c r="CY143" s="7"/>
      <c r="CZ143" s="7"/>
      <c r="DA143" s="7"/>
      <c r="DB143" s="7"/>
      <c r="DC143" s="7"/>
      <c r="DD143" s="7"/>
      <c r="DE143" s="7"/>
      <c r="DF143" s="7"/>
      <c r="DG143" s="7"/>
      <c r="DH143" s="7"/>
      <c r="DI143" s="7"/>
      <c r="DJ143" s="7"/>
      <c r="DK143" s="7"/>
      <c r="DL143" s="7"/>
      <c r="DM143" s="7"/>
      <c r="DN143" s="7"/>
      <c r="DO143" s="7"/>
      <c r="DP143" s="7"/>
      <c r="DQ143" s="7"/>
      <c r="DR143" s="7"/>
      <c r="DS143" s="7"/>
      <c r="DT143" s="7"/>
      <c r="DU143" s="7"/>
      <c r="DV143" s="7"/>
      <c r="DW143" s="7"/>
      <c r="DX143" s="7"/>
      <c r="DY143" s="7"/>
      <c r="DZ143" s="7"/>
      <c r="EA143" s="7"/>
      <c r="EB143" s="7"/>
      <c r="EC143" s="7"/>
      <c r="ED143" s="7"/>
      <c r="EE143" s="7"/>
      <c r="EF143" s="7"/>
      <c r="EG143" s="7"/>
      <c r="EH143" s="7"/>
      <c r="EI143" s="7"/>
      <c r="EJ143" s="7"/>
      <c r="EK143" s="7"/>
      <c r="EL143" s="7"/>
      <c r="EM143" s="7"/>
      <c r="EN143" s="7"/>
      <c r="EO143" s="7"/>
      <c r="EP143" s="7"/>
      <c r="EQ143" s="7"/>
      <c r="ER143" s="7"/>
      <c r="ES143" s="7"/>
      <c r="ET143" s="7"/>
      <c r="EU143" s="7"/>
      <c r="EV143" s="7"/>
      <c r="EW143" s="7"/>
      <c r="EX143" s="7"/>
      <c r="EY143" s="7"/>
      <c r="EZ143" s="7"/>
      <c r="FA143" s="7"/>
      <c r="FB143" s="7"/>
      <c r="FC143" s="7"/>
      <c r="FD143" s="7"/>
      <c r="FE143" s="7"/>
      <c r="FF143" s="7"/>
      <c r="FG143" s="7"/>
      <c r="FH143" s="7"/>
      <c r="FI143" s="7"/>
      <c r="FJ143" s="7"/>
      <c r="FK143" s="7"/>
      <c r="FL143" s="7"/>
      <c r="FM143" s="7"/>
      <c r="FN143" s="7"/>
      <c r="FO143" s="7"/>
      <c r="FP143" s="7"/>
      <c r="FQ143" s="7"/>
      <c r="FR143" s="7"/>
      <c r="FS143" s="7"/>
      <c r="FT143" s="7"/>
      <c r="FU143" s="7"/>
      <c r="FV143" s="7"/>
      <c r="FW143" s="7"/>
      <c r="FX143" s="7"/>
      <c r="FY143" s="7"/>
      <c r="FZ143" s="7"/>
      <c r="GA143" s="7"/>
      <c r="GB143" s="7"/>
      <c r="GC143" s="7"/>
      <c r="GD143" s="7"/>
      <c r="GE143" s="7"/>
      <c r="GF143" s="7"/>
      <c r="GG143" s="7"/>
      <c r="GH143" s="7"/>
      <c r="GI143" s="7"/>
      <c r="GJ143" s="7"/>
      <c r="GK143" s="7"/>
      <c r="GL143" s="7"/>
      <c r="GM143" s="7"/>
      <c r="GN143" s="7"/>
      <c r="GO143" s="7"/>
      <c r="GP143" s="7"/>
      <c r="GQ143" s="7"/>
      <c r="GR143" s="7"/>
      <c r="GS143" s="7"/>
      <c r="GT143" s="7"/>
      <c r="GU143" s="7"/>
      <c r="GV143" s="7"/>
      <c r="GW143" s="7"/>
      <c r="GX143" s="7"/>
      <c r="GY143" s="7"/>
      <c r="GZ143" s="7"/>
      <c r="HA143" s="7"/>
      <c r="HB143" s="7"/>
      <c r="HC143" s="7"/>
      <c r="HD143" s="7"/>
      <c r="HE143" s="7"/>
      <c r="HF143" s="7"/>
      <c r="HG143" s="7"/>
      <c r="HH143" s="7"/>
      <c r="HI143" s="7"/>
      <c r="HJ143" s="7"/>
      <c r="HK143" s="7"/>
      <c r="HL143" s="7"/>
      <c r="HM143" s="7"/>
      <c r="HN143" s="7"/>
      <c r="HO143" s="7"/>
      <c r="HP143" s="7"/>
      <c r="HQ143" s="7"/>
      <c r="HR143" s="7"/>
      <c r="HS143" s="7"/>
      <c r="HT143" s="7"/>
      <c r="HU143" s="7"/>
      <c r="HV143" s="7"/>
      <c r="HW143" s="7"/>
      <c r="HX143" s="7"/>
      <c r="HY143" s="7"/>
    </row>
    <row r="144" spans="1:233">
      <c r="A144" s="56" t="s">
        <v>184</v>
      </c>
      <c r="B144" s="56" t="s">
        <v>185</v>
      </c>
      <c r="C144" s="56" t="s">
        <v>67</v>
      </c>
      <c r="D144" s="60">
        <v>226116.3</v>
      </c>
      <c r="E144" s="63" t="s">
        <v>21</v>
      </c>
      <c r="F144" s="66" t="s">
        <v>9</v>
      </c>
      <c r="G144" s="58" t="s">
        <v>192</v>
      </c>
      <c r="H144" s="59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7"/>
      <c r="BV144" s="7"/>
      <c r="BW144" s="7"/>
      <c r="BX144" s="7"/>
      <c r="BY144" s="7"/>
      <c r="BZ144" s="7"/>
      <c r="CA144" s="7"/>
      <c r="CB144" s="7"/>
      <c r="CC144" s="7"/>
      <c r="CD144" s="7"/>
      <c r="CE144" s="7"/>
      <c r="CF144" s="7"/>
      <c r="CG144" s="7"/>
      <c r="CH144" s="7"/>
      <c r="CI144" s="7"/>
      <c r="CJ144" s="7"/>
      <c r="CK144" s="7"/>
      <c r="CL144" s="7"/>
      <c r="CM144" s="7"/>
      <c r="CN144" s="7"/>
      <c r="CO144" s="7"/>
      <c r="CP144" s="7"/>
      <c r="CQ144" s="7"/>
      <c r="CR144" s="7"/>
      <c r="CS144" s="7"/>
      <c r="CT144" s="7"/>
      <c r="CU144" s="7"/>
      <c r="CV144" s="7"/>
      <c r="CW144" s="7"/>
      <c r="CX144" s="7"/>
      <c r="CY144" s="7"/>
      <c r="CZ144" s="7"/>
      <c r="DA144" s="7"/>
      <c r="DB144" s="7"/>
      <c r="DC144" s="7"/>
      <c r="DD144" s="7"/>
      <c r="DE144" s="7"/>
      <c r="DF144" s="7"/>
      <c r="DG144" s="7"/>
      <c r="DH144" s="7"/>
      <c r="DI144" s="7"/>
      <c r="DJ144" s="7"/>
      <c r="DK144" s="7"/>
      <c r="DL144" s="7"/>
      <c r="DM144" s="7"/>
      <c r="DN144" s="7"/>
      <c r="DO144" s="7"/>
      <c r="DP144" s="7"/>
      <c r="DQ144" s="7"/>
      <c r="DR144" s="7"/>
      <c r="DS144" s="7"/>
      <c r="DT144" s="7"/>
      <c r="DU144" s="7"/>
      <c r="DV144" s="7"/>
      <c r="DW144" s="7"/>
      <c r="DX144" s="7"/>
      <c r="DY144" s="7"/>
      <c r="DZ144" s="7"/>
      <c r="EA144" s="7"/>
      <c r="EB144" s="7"/>
      <c r="EC144" s="7"/>
      <c r="ED144" s="7"/>
      <c r="EE144" s="7"/>
      <c r="EF144" s="7"/>
      <c r="EG144" s="7"/>
      <c r="EH144" s="7"/>
      <c r="EI144" s="7"/>
      <c r="EJ144" s="7"/>
      <c r="EK144" s="7"/>
      <c r="EL144" s="7"/>
      <c r="EM144" s="7"/>
      <c r="EN144" s="7"/>
      <c r="EO144" s="7"/>
      <c r="EP144" s="7"/>
      <c r="EQ144" s="7"/>
      <c r="ER144" s="7"/>
      <c r="ES144" s="7"/>
      <c r="ET144" s="7"/>
      <c r="EU144" s="7"/>
      <c r="EV144" s="7"/>
      <c r="EW144" s="7"/>
      <c r="EX144" s="7"/>
      <c r="EY144" s="7"/>
      <c r="EZ144" s="7"/>
      <c r="FA144" s="7"/>
      <c r="FB144" s="7"/>
      <c r="FC144" s="7"/>
      <c r="FD144" s="7"/>
      <c r="FE144" s="7"/>
      <c r="FF144" s="7"/>
      <c r="FG144" s="7"/>
      <c r="FH144" s="7"/>
      <c r="FI144" s="7"/>
      <c r="FJ144" s="7"/>
      <c r="FK144" s="7"/>
      <c r="FL144" s="7"/>
      <c r="FM144" s="7"/>
      <c r="FN144" s="7"/>
      <c r="FO144" s="7"/>
      <c r="FP144" s="7"/>
      <c r="FQ144" s="7"/>
      <c r="FR144" s="7"/>
      <c r="FS144" s="7"/>
      <c r="FT144" s="7"/>
      <c r="FU144" s="7"/>
      <c r="FV144" s="7"/>
      <c r="FW144" s="7"/>
      <c r="FX144" s="7"/>
      <c r="FY144" s="7"/>
      <c r="FZ144" s="7"/>
      <c r="GA144" s="7"/>
      <c r="GB144" s="7"/>
      <c r="GC144" s="7"/>
      <c r="GD144" s="7"/>
      <c r="GE144" s="7"/>
      <c r="GF144" s="7"/>
      <c r="GG144" s="7"/>
      <c r="GH144" s="7"/>
      <c r="GI144" s="7"/>
      <c r="GJ144" s="7"/>
      <c r="GK144" s="7"/>
      <c r="GL144" s="7"/>
      <c r="GM144" s="7"/>
      <c r="GN144" s="7"/>
      <c r="GO144" s="7"/>
      <c r="GP144" s="7"/>
      <c r="GQ144" s="7"/>
      <c r="GR144" s="7"/>
      <c r="GS144" s="7"/>
      <c r="GT144" s="7"/>
      <c r="GU144" s="7"/>
      <c r="GV144" s="7"/>
      <c r="GW144" s="7"/>
      <c r="GX144" s="7"/>
      <c r="GY144" s="7"/>
      <c r="GZ144" s="7"/>
      <c r="HA144" s="7"/>
      <c r="HB144" s="7"/>
      <c r="HC144" s="7"/>
      <c r="HD144" s="7"/>
      <c r="HE144" s="7"/>
      <c r="HF144" s="7"/>
      <c r="HG144" s="7"/>
      <c r="HH144" s="7"/>
      <c r="HI144" s="7"/>
      <c r="HJ144" s="7"/>
      <c r="HK144" s="7"/>
      <c r="HL144" s="7"/>
      <c r="HM144" s="7"/>
      <c r="HN144" s="7"/>
      <c r="HO144" s="7"/>
      <c r="HP144" s="7"/>
      <c r="HQ144" s="7"/>
      <c r="HR144" s="7"/>
      <c r="HS144" s="7"/>
      <c r="HT144" s="7"/>
      <c r="HU144" s="7"/>
      <c r="HV144" s="7"/>
      <c r="HW144" s="7"/>
      <c r="HX144" s="7"/>
      <c r="HY144" s="7"/>
    </row>
    <row r="145" spans="1:233">
      <c r="A145" s="56" t="s">
        <v>184</v>
      </c>
      <c r="B145" s="56" t="s">
        <v>185</v>
      </c>
      <c r="C145" s="56" t="s">
        <v>28</v>
      </c>
      <c r="D145" s="60">
        <v>784</v>
      </c>
      <c r="E145" s="63" t="s">
        <v>22</v>
      </c>
      <c r="F145" s="66" t="s">
        <v>9</v>
      </c>
      <c r="G145" s="58" t="s">
        <v>55</v>
      </c>
      <c r="H145" s="59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7"/>
      <c r="BW145" s="7"/>
      <c r="BX145" s="7"/>
      <c r="BY145" s="7"/>
      <c r="BZ145" s="7"/>
      <c r="CA145" s="7"/>
      <c r="CB145" s="7"/>
      <c r="CC145" s="7"/>
      <c r="CD145" s="7"/>
      <c r="CE145" s="7"/>
      <c r="CF145" s="7"/>
      <c r="CG145" s="7"/>
      <c r="CH145" s="7"/>
      <c r="CI145" s="7"/>
      <c r="CJ145" s="7"/>
      <c r="CK145" s="7"/>
      <c r="CL145" s="7"/>
      <c r="CM145" s="7"/>
      <c r="CN145" s="7"/>
      <c r="CO145" s="7"/>
      <c r="CP145" s="7"/>
      <c r="CQ145" s="7"/>
      <c r="CR145" s="7"/>
      <c r="CS145" s="7"/>
      <c r="CT145" s="7"/>
      <c r="CU145" s="7"/>
      <c r="CV145" s="7"/>
      <c r="CW145" s="7"/>
      <c r="CX145" s="7"/>
      <c r="CY145" s="7"/>
      <c r="CZ145" s="7"/>
      <c r="DA145" s="7"/>
      <c r="DB145" s="7"/>
      <c r="DC145" s="7"/>
      <c r="DD145" s="7"/>
      <c r="DE145" s="7"/>
      <c r="DF145" s="7"/>
      <c r="DG145" s="7"/>
      <c r="DH145" s="7"/>
      <c r="DI145" s="7"/>
      <c r="DJ145" s="7"/>
      <c r="DK145" s="7"/>
      <c r="DL145" s="7"/>
      <c r="DM145" s="7"/>
      <c r="DN145" s="7"/>
      <c r="DO145" s="7"/>
      <c r="DP145" s="7"/>
      <c r="DQ145" s="7"/>
      <c r="DR145" s="7"/>
      <c r="DS145" s="7"/>
      <c r="DT145" s="7"/>
      <c r="DU145" s="7"/>
      <c r="DV145" s="7"/>
      <c r="DW145" s="7"/>
      <c r="DX145" s="7"/>
      <c r="DY145" s="7"/>
      <c r="DZ145" s="7"/>
      <c r="EA145" s="7"/>
      <c r="EB145" s="7"/>
      <c r="EC145" s="7"/>
      <c r="ED145" s="7"/>
      <c r="EE145" s="7"/>
      <c r="EF145" s="7"/>
      <c r="EG145" s="7"/>
      <c r="EH145" s="7"/>
      <c r="EI145" s="7"/>
      <c r="EJ145" s="7"/>
      <c r="EK145" s="7"/>
      <c r="EL145" s="7"/>
      <c r="EM145" s="7"/>
      <c r="EN145" s="7"/>
      <c r="EO145" s="7"/>
      <c r="EP145" s="7"/>
      <c r="EQ145" s="7"/>
      <c r="ER145" s="7"/>
      <c r="ES145" s="7"/>
      <c r="ET145" s="7"/>
      <c r="EU145" s="7"/>
      <c r="EV145" s="7"/>
      <c r="EW145" s="7"/>
      <c r="EX145" s="7"/>
      <c r="EY145" s="7"/>
      <c r="EZ145" s="7"/>
      <c r="FA145" s="7"/>
      <c r="FB145" s="7"/>
      <c r="FC145" s="7"/>
      <c r="FD145" s="7"/>
      <c r="FE145" s="7"/>
      <c r="FF145" s="7"/>
      <c r="FG145" s="7"/>
      <c r="FH145" s="7"/>
      <c r="FI145" s="7"/>
      <c r="FJ145" s="7"/>
      <c r="FK145" s="7"/>
      <c r="FL145" s="7"/>
      <c r="FM145" s="7"/>
      <c r="FN145" s="7"/>
      <c r="FO145" s="7"/>
      <c r="FP145" s="7"/>
      <c r="FQ145" s="7"/>
      <c r="FR145" s="7"/>
      <c r="FS145" s="7"/>
      <c r="FT145" s="7"/>
      <c r="FU145" s="7"/>
      <c r="FV145" s="7"/>
      <c r="FW145" s="7"/>
      <c r="FX145" s="7"/>
      <c r="FY145" s="7"/>
      <c r="FZ145" s="7"/>
      <c r="GA145" s="7"/>
      <c r="GB145" s="7"/>
      <c r="GC145" s="7"/>
      <c r="GD145" s="7"/>
      <c r="GE145" s="7"/>
      <c r="GF145" s="7"/>
      <c r="GG145" s="7"/>
      <c r="GH145" s="7"/>
      <c r="GI145" s="7"/>
      <c r="GJ145" s="7"/>
      <c r="GK145" s="7"/>
      <c r="GL145" s="7"/>
      <c r="GM145" s="7"/>
      <c r="GN145" s="7"/>
      <c r="GO145" s="7"/>
      <c r="GP145" s="7"/>
      <c r="GQ145" s="7"/>
      <c r="GR145" s="7"/>
      <c r="GS145" s="7"/>
      <c r="GT145" s="7"/>
      <c r="GU145" s="7"/>
      <c r="GV145" s="7"/>
      <c r="GW145" s="7"/>
      <c r="GX145" s="7"/>
      <c r="GY145" s="7"/>
      <c r="GZ145" s="7"/>
      <c r="HA145" s="7"/>
      <c r="HB145" s="7"/>
      <c r="HC145" s="7"/>
      <c r="HD145" s="7"/>
      <c r="HE145" s="7"/>
      <c r="HF145" s="7"/>
      <c r="HG145" s="7"/>
      <c r="HH145" s="7"/>
      <c r="HI145" s="7"/>
      <c r="HJ145" s="7"/>
      <c r="HK145" s="7"/>
      <c r="HL145" s="7"/>
      <c r="HM145" s="7"/>
      <c r="HN145" s="7"/>
      <c r="HO145" s="7"/>
      <c r="HP145" s="7"/>
      <c r="HQ145" s="7"/>
      <c r="HR145" s="7"/>
      <c r="HS145" s="7"/>
      <c r="HT145" s="7"/>
      <c r="HU145" s="7"/>
      <c r="HV145" s="7"/>
      <c r="HW145" s="7"/>
      <c r="HX145" s="7"/>
      <c r="HY145" s="7"/>
    </row>
    <row r="146" spans="1:233">
      <c r="A146" s="56" t="s">
        <v>184</v>
      </c>
      <c r="B146" s="56" t="s">
        <v>185</v>
      </c>
      <c r="C146" s="56" t="s">
        <v>29</v>
      </c>
      <c r="D146" s="60">
        <v>3919.53</v>
      </c>
      <c r="E146" s="63" t="s">
        <v>19</v>
      </c>
      <c r="F146" s="66" t="s">
        <v>9</v>
      </c>
      <c r="G146" s="58" t="s">
        <v>56</v>
      </c>
      <c r="H146" s="59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/>
      <c r="BV146" s="7"/>
      <c r="BW146" s="7"/>
      <c r="BX146" s="7"/>
      <c r="BY146" s="7"/>
      <c r="BZ146" s="7"/>
      <c r="CA146" s="7"/>
      <c r="CB146" s="7"/>
      <c r="CC146" s="7"/>
      <c r="CD146" s="7"/>
      <c r="CE146" s="7"/>
      <c r="CF146" s="7"/>
      <c r="CG146" s="7"/>
      <c r="CH146" s="7"/>
      <c r="CI146" s="7"/>
      <c r="CJ146" s="7"/>
      <c r="CK146" s="7"/>
      <c r="CL146" s="7"/>
      <c r="CM146" s="7"/>
      <c r="CN146" s="7"/>
      <c r="CO146" s="7"/>
      <c r="CP146" s="7"/>
      <c r="CQ146" s="7"/>
      <c r="CR146" s="7"/>
      <c r="CS146" s="7"/>
      <c r="CT146" s="7"/>
      <c r="CU146" s="7"/>
      <c r="CV146" s="7"/>
      <c r="CW146" s="7"/>
      <c r="CX146" s="7"/>
      <c r="CY146" s="7"/>
      <c r="CZ146" s="7"/>
      <c r="DA146" s="7"/>
      <c r="DB146" s="7"/>
      <c r="DC146" s="7"/>
      <c r="DD146" s="7"/>
      <c r="DE146" s="7"/>
      <c r="DF146" s="7"/>
      <c r="DG146" s="7"/>
      <c r="DH146" s="7"/>
      <c r="DI146" s="7"/>
      <c r="DJ146" s="7"/>
      <c r="DK146" s="7"/>
      <c r="DL146" s="7"/>
      <c r="DM146" s="7"/>
      <c r="DN146" s="7"/>
      <c r="DO146" s="7"/>
      <c r="DP146" s="7"/>
      <c r="DQ146" s="7"/>
      <c r="DR146" s="7"/>
      <c r="DS146" s="7"/>
      <c r="DT146" s="7"/>
      <c r="DU146" s="7"/>
      <c r="DV146" s="7"/>
      <c r="DW146" s="7"/>
      <c r="DX146" s="7"/>
      <c r="DY146" s="7"/>
      <c r="DZ146" s="7"/>
      <c r="EA146" s="7"/>
      <c r="EB146" s="7"/>
      <c r="EC146" s="7"/>
      <c r="ED146" s="7"/>
      <c r="EE146" s="7"/>
      <c r="EF146" s="7"/>
      <c r="EG146" s="7"/>
      <c r="EH146" s="7"/>
      <c r="EI146" s="7"/>
      <c r="EJ146" s="7"/>
      <c r="EK146" s="7"/>
      <c r="EL146" s="7"/>
      <c r="EM146" s="7"/>
      <c r="EN146" s="7"/>
      <c r="EO146" s="7"/>
      <c r="EP146" s="7"/>
      <c r="EQ146" s="7"/>
      <c r="ER146" s="7"/>
      <c r="ES146" s="7"/>
      <c r="ET146" s="7"/>
      <c r="EU146" s="7"/>
      <c r="EV146" s="7"/>
      <c r="EW146" s="7"/>
      <c r="EX146" s="7"/>
      <c r="EY146" s="7"/>
      <c r="EZ146" s="7"/>
      <c r="FA146" s="7"/>
      <c r="FB146" s="7"/>
      <c r="FC146" s="7"/>
      <c r="FD146" s="7"/>
      <c r="FE146" s="7"/>
      <c r="FF146" s="7"/>
      <c r="FG146" s="7"/>
      <c r="FH146" s="7"/>
      <c r="FI146" s="7"/>
      <c r="FJ146" s="7"/>
      <c r="FK146" s="7"/>
      <c r="FL146" s="7"/>
      <c r="FM146" s="7"/>
      <c r="FN146" s="7"/>
      <c r="FO146" s="7"/>
      <c r="FP146" s="7"/>
      <c r="FQ146" s="7"/>
      <c r="FR146" s="7"/>
      <c r="FS146" s="7"/>
      <c r="FT146" s="7"/>
      <c r="FU146" s="7"/>
      <c r="FV146" s="7"/>
      <c r="FW146" s="7"/>
      <c r="FX146" s="7"/>
      <c r="FY146" s="7"/>
      <c r="FZ146" s="7"/>
      <c r="GA146" s="7"/>
      <c r="GB146" s="7"/>
      <c r="GC146" s="7"/>
      <c r="GD146" s="7"/>
      <c r="GE146" s="7"/>
      <c r="GF146" s="7"/>
      <c r="GG146" s="7"/>
      <c r="GH146" s="7"/>
      <c r="GI146" s="7"/>
      <c r="GJ146" s="7"/>
      <c r="GK146" s="7"/>
      <c r="GL146" s="7"/>
      <c r="GM146" s="7"/>
      <c r="GN146" s="7"/>
      <c r="GO146" s="7"/>
      <c r="GP146" s="7"/>
      <c r="GQ146" s="7"/>
      <c r="GR146" s="7"/>
      <c r="GS146" s="7"/>
      <c r="GT146" s="7"/>
      <c r="GU146" s="7"/>
      <c r="GV146" s="7"/>
      <c r="GW146" s="7"/>
      <c r="GX146" s="7"/>
      <c r="GY146" s="7"/>
      <c r="GZ146" s="7"/>
      <c r="HA146" s="7"/>
      <c r="HB146" s="7"/>
      <c r="HC146" s="7"/>
      <c r="HD146" s="7"/>
      <c r="HE146" s="7"/>
      <c r="HF146" s="7"/>
      <c r="HG146" s="7"/>
      <c r="HH146" s="7"/>
      <c r="HI146" s="7"/>
      <c r="HJ146" s="7"/>
      <c r="HK146" s="7"/>
      <c r="HL146" s="7"/>
      <c r="HM146" s="7"/>
      <c r="HN146" s="7"/>
      <c r="HO146" s="7"/>
      <c r="HP146" s="7"/>
      <c r="HQ146" s="7"/>
      <c r="HR146" s="7"/>
      <c r="HS146" s="7"/>
      <c r="HT146" s="7"/>
      <c r="HU146" s="7"/>
      <c r="HV146" s="7"/>
      <c r="HW146" s="7"/>
      <c r="HX146" s="7"/>
      <c r="HY146" s="7"/>
    </row>
    <row r="147" spans="1:233">
      <c r="A147" s="56" t="s">
        <v>186</v>
      </c>
      <c r="B147" s="56" t="s">
        <v>187</v>
      </c>
      <c r="C147" s="56" t="s">
        <v>67</v>
      </c>
      <c r="D147" s="60">
        <v>299222.11</v>
      </c>
      <c r="E147" s="63" t="s">
        <v>21</v>
      </c>
      <c r="F147" s="66" t="s">
        <v>16</v>
      </c>
      <c r="G147" s="58" t="s">
        <v>108</v>
      </c>
      <c r="H147" s="59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/>
      <c r="BV147" s="7"/>
      <c r="BW147" s="7"/>
      <c r="BX147" s="7"/>
      <c r="BY147" s="7"/>
      <c r="BZ147" s="7"/>
      <c r="CA147" s="7"/>
      <c r="CB147" s="7"/>
      <c r="CC147" s="7"/>
      <c r="CD147" s="7"/>
      <c r="CE147" s="7"/>
      <c r="CF147" s="7"/>
      <c r="CG147" s="7"/>
      <c r="CH147" s="7"/>
      <c r="CI147" s="7"/>
      <c r="CJ147" s="7"/>
      <c r="CK147" s="7"/>
      <c r="CL147" s="7"/>
      <c r="CM147" s="7"/>
      <c r="CN147" s="7"/>
      <c r="CO147" s="7"/>
      <c r="CP147" s="7"/>
      <c r="CQ147" s="7"/>
      <c r="CR147" s="7"/>
      <c r="CS147" s="7"/>
      <c r="CT147" s="7"/>
      <c r="CU147" s="7"/>
      <c r="CV147" s="7"/>
      <c r="CW147" s="7"/>
      <c r="CX147" s="7"/>
      <c r="CY147" s="7"/>
      <c r="CZ147" s="7"/>
      <c r="DA147" s="7"/>
      <c r="DB147" s="7"/>
      <c r="DC147" s="7"/>
      <c r="DD147" s="7"/>
      <c r="DE147" s="7"/>
      <c r="DF147" s="7"/>
      <c r="DG147" s="7"/>
      <c r="DH147" s="7"/>
      <c r="DI147" s="7"/>
      <c r="DJ147" s="7"/>
      <c r="DK147" s="7"/>
      <c r="DL147" s="7"/>
      <c r="DM147" s="7"/>
      <c r="DN147" s="7"/>
      <c r="DO147" s="7"/>
      <c r="DP147" s="7"/>
      <c r="DQ147" s="7"/>
      <c r="DR147" s="7"/>
      <c r="DS147" s="7"/>
      <c r="DT147" s="7"/>
      <c r="DU147" s="7"/>
      <c r="DV147" s="7"/>
      <c r="DW147" s="7"/>
      <c r="DX147" s="7"/>
      <c r="DY147" s="7"/>
      <c r="DZ147" s="7"/>
      <c r="EA147" s="7"/>
      <c r="EB147" s="7"/>
      <c r="EC147" s="7"/>
      <c r="ED147" s="7"/>
      <c r="EE147" s="7"/>
      <c r="EF147" s="7"/>
      <c r="EG147" s="7"/>
      <c r="EH147" s="7"/>
      <c r="EI147" s="7"/>
      <c r="EJ147" s="7"/>
      <c r="EK147" s="7"/>
      <c r="EL147" s="7"/>
      <c r="EM147" s="7"/>
      <c r="EN147" s="7"/>
      <c r="EO147" s="7"/>
      <c r="EP147" s="7"/>
      <c r="EQ147" s="7"/>
      <c r="ER147" s="7"/>
      <c r="ES147" s="7"/>
      <c r="ET147" s="7"/>
      <c r="EU147" s="7"/>
      <c r="EV147" s="7"/>
      <c r="EW147" s="7"/>
      <c r="EX147" s="7"/>
      <c r="EY147" s="7"/>
      <c r="EZ147" s="7"/>
      <c r="FA147" s="7"/>
      <c r="FB147" s="7"/>
      <c r="FC147" s="7"/>
      <c r="FD147" s="7"/>
      <c r="FE147" s="7"/>
      <c r="FF147" s="7"/>
      <c r="FG147" s="7"/>
      <c r="FH147" s="7"/>
      <c r="FI147" s="7"/>
      <c r="FJ147" s="7"/>
      <c r="FK147" s="7"/>
      <c r="FL147" s="7"/>
      <c r="FM147" s="7"/>
      <c r="FN147" s="7"/>
      <c r="FO147" s="7"/>
      <c r="FP147" s="7"/>
      <c r="FQ147" s="7"/>
      <c r="FR147" s="7"/>
      <c r="FS147" s="7"/>
      <c r="FT147" s="7"/>
      <c r="FU147" s="7"/>
      <c r="FV147" s="7"/>
      <c r="FW147" s="7"/>
      <c r="FX147" s="7"/>
      <c r="FY147" s="7"/>
      <c r="FZ147" s="7"/>
      <c r="GA147" s="7"/>
      <c r="GB147" s="7"/>
      <c r="GC147" s="7"/>
      <c r="GD147" s="7"/>
      <c r="GE147" s="7"/>
      <c r="GF147" s="7"/>
      <c r="GG147" s="7"/>
      <c r="GH147" s="7"/>
      <c r="GI147" s="7"/>
      <c r="GJ147" s="7"/>
      <c r="GK147" s="7"/>
      <c r="GL147" s="7"/>
      <c r="GM147" s="7"/>
      <c r="GN147" s="7"/>
      <c r="GO147" s="7"/>
      <c r="GP147" s="7"/>
      <c r="GQ147" s="7"/>
      <c r="GR147" s="7"/>
      <c r="GS147" s="7"/>
      <c r="GT147" s="7"/>
      <c r="GU147" s="7"/>
      <c r="GV147" s="7"/>
      <c r="GW147" s="7"/>
      <c r="GX147" s="7"/>
      <c r="GY147" s="7"/>
      <c r="GZ147" s="7"/>
      <c r="HA147" s="7"/>
      <c r="HB147" s="7"/>
      <c r="HC147" s="7"/>
      <c r="HD147" s="7"/>
      <c r="HE147" s="7"/>
      <c r="HF147" s="7"/>
      <c r="HG147" s="7"/>
      <c r="HH147" s="7"/>
      <c r="HI147" s="7"/>
      <c r="HJ147" s="7"/>
      <c r="HK147" s="7"/>
      <c r="HL147" s="7"/>
      <c r="HM147" s="7"/>
      <c r="HN147" s="7"/>
      <c r="HO147" s="7"/>
      <c r="HP147" s="7"/>
      <c r="HQ147" s="7"/>
      <c r="HR147" s="7"/>
      <c r="HS147" s="7"/>
      <c r="HT147" s="7"/>
      <c r="HU147" s="7"/>
      <c r="HV147" s="7"/>
      <c r="HW147" s="7"/>
      <c r="HX147" s="7"/>
      <c r="HY147" s="7"/>
    </row>
    <row r="148" spans="1:233">
      <c r="A148" s="56" t="s">
        <v>186</v>
      </c>
      <c r="B148" s="56" t="s">
        <v>187</v>
      </c>
      <c r="C148" s="56" t="s">
        <v>28</v>
      </c>
      <c r="D148" s="60">
        <v>24024.92</v>
      </c>
      <c r="E148" s="63" t="s">
        <v>22</v>
      </c>
      <c r="F148" s="66" t="s">
        <v>16</v>
      </c>
      <c r="G148" s="58" t="s">
        <v>70</v>
      </c>
      <c r="H148" s="59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7"/>
      <c r="BV148" s="7"/>
      <c r="BW148" s="7"/>
      <c r="BX148" s="7"/>
      <c r="BY148" s="7"/>
      <c r="BZ148" s="7"/>
      <c r="CA148" s="7"/>
      <c r="CB148" s="7"/>
      <c r="CC148" s="7"/>
      <c r="CD148" s="7"/>
      <c r="CE148" s="7"/>
      <c r="CF148" s="7"/>
      <c r="CG148" s="7"/>
      <c r="CH148" s="7"/>
      <c r="CI148" s="7"/>
      <c r="CJ148" s="7"/>
      <c r="CK148" s="7"/>
      <c r="CL148" s="7"/>
      <c r="CM148" s="7"/>
      <c r="CN148" s="7"/>
      <c r="CO148" s="7"/>
      <c r="CP148" s="7"/>
      <c r="CQ148" s="7"/>
      <c r="CR148" s="7"/>
      <c r="CS148" s="7"/>
      <c r="CT148" s="7"/>
      <c r="CU148" s="7"/>
      <c r="CV148" s="7"/>
      <c r="CW148" s="7"/>
      <c r="CX148" s="7"/>
      <c r="CY148" s="7"/>
      <c r="CZ148" s="7"/>
      <c r="DA148" s="7"/>
      <c r="DB148" s="7"/>
      <c r="DC148" s="7"/>
      <c r="DD148" s="7"/>
      <c r="DE148" s="7"/>
      <c r="DF148" s="7"/>
      <c r="DG148" s="7"/>
      <c r="DH148" s="7"/>
      <c r="DI148" s="7"/>
      <c r="DJ148" s="7"/>
      <c r="DK148" s="7"/>
      <c r="DL148" s="7"/>
      <c r="DM148" s="7"/>
      <c r="DN148" s="7"/>
      <c r="DO148" s="7"/>
      <c r="DP148" s="7"/>
      <c r="DQ148" s="7"/>
      <c r="DR148" s="7"/>
      <c r="DS148" s="7"/>
      <c r="DT148" s="7"/>
      <c r="DU148" s="7"/>
      <c r="DV148" s="7"/>
      <c r="DW148" s="7"/>
      <c r="DX148" s="7"/>
      <c r="DY148" s="7"/>
      <c r="DZ148" s="7"/>
      <c r="EA148" s="7"/>
      <c r="EB148" s="7"/>
      <c r="EC148" s="7"/>
      <c r="ED148" s="7"/>
      <c r="EE148" s="7"/>
      <c r="EF148" s="7"/>
      <c r="EG148" s="7"/>
      <c r="EH148" s="7"/>
      <c r="EI148" s="7"/>
      <c r="EJ148" s="7"/>
      <c r="EK148" s="7"/>
      <c r="EL148" s="7"/>
      <c r="EM148" s="7"/>
      <c r="EN148" s="7"/>
      <c r="EO148" s="7"/>
      <c r="EP148" s="7"/>
      <c r="EQ148" s="7"/>
      <c r="ER148" s="7"/>
      <c r="ES148" s="7"/>
      <c r="ET148" s="7"/>
      <c r="EU148" s="7"/>
      <c r="EV148" s="7"/>
      <c r="EW148" s="7"/>
      <c r="EX148" s="7"/>
      <c r="EY148" s="7"/>
      <c r="EZ148" s="7"/>
      <c r="FA148" s="7"/>
      <c r="FB148" s="7"/>
      <c r="FC148" s="7"/>
      <c r="FD148" s="7"/>
      <c r="FE148" s="7"/>
      <c r="FF148" s="7"/>
      <c r="FG148" s="7"/>
      <c r="FH148" s="7"/>
      <c r="FI148" s="7"/>
      <c r="FJ148" s="7"/>
      <c r="FK148" s="7"/>
      <c r="FL148" s="7"/>
      <c r="FM148" s="7"/>
      <c r="FN148" s="7"/>
      <c r="FO148" s="7"/>
      <c r="FP148" s="7"/>
      <c r="FQ148" s="7"/>
      <c r="FR148" s="7"/>
      <c r="FS148" s="7"/>
      <c r="FT148" s="7"/>
      <c r="FU148" s="7"/>
      <c r="FV148" s="7"/>
      <c r="FW148" s="7"/>
      <c r="FX148" s="7"/>
      <c r="FY148" s="7"/>
      <c r="FZ148" s="7"/>
      <c r="GA148" s="7"/>
      <c r="GB148" s="7"/>
      <c r="GC148" s="7"/>
      <c r="GD148" s="7"/>
      <c r="GE148" s="7"/>
      <c r="GF148" s="7"/>
      <c r="GG148" s="7"/>
      <c r="GH148" s="7"/>
      <c r="GI148" s="7"/>
      <c r="GJ148" s="7"/>
      <c r="GK148" s="7"/>
      <c r="GL148" s="7"/>
      <c r="GM148" s="7"/>
      <c r="GN148" s="7"/>
      <c r="GO148" s="7"/>
      <c r="GP148" s="7"/>
      <c r="GQ148" s="7"/>
      <c r="GR148" s="7"/>
      <c r="GS148" s="7"/>
      <c r="GT148" s="7"/>
      <c r="GU148" s="7"/>
      <c r="GV148" s="7"/>
      <c r="GW148" s="7"/>
      <c r="GX148" s="7"/>
      <c r="GY148" s="7"/>
      <c r="GZ148" s="7"/>
      <c r="HA148" s="7"/>
      <c r="HB148" s="7"/>
      <c r="HC148" s="7"/>
      <c r="HD148" s="7"/>
      <c r="HE148" s="7"/>
      <c r="HF148" s="7"/>
      <c r="HG148" s="7"/>
      <c r="HH148" s="7"/>
      <c r="HI148" s="7"/>
      <c r="HJ148" s="7"/>
      <c r="HK148" s="7"/>
      <c r="HL148" s="7"/>
      <c r="HM148" s="7"/>
      <c r="HN148" s="7"/>
      <c r="HO148" s="7"/>
      <c r="HP148" s="7"/>
      <c r="HQ148" s="7"/>
      <c r="HR148" s="7"/>
      <c r="HS148" s="7"/>
      <c r="HT148" s="7"/>
      <c r="HU148" s="7"/>
      <c r="HV148" s="7"/>
      <c r="HW148" s="7"/>
      <c r="HX148" s="7"/>
      <c r="HY148" s="7"/>
    </row>
    <row r="149" spans="1:233">
      <c r="A149" s="56" t="s">
        <v>186</v>
      </c>
      <c r="B149" s="56" t="s">
        <v>187</v>
      </c>
      <c r="C149" s="56" t="s">
        <v>29</v>
      </c>
      <c r="D149" s="60">
        <v>727250.94</v>
      </c>
      <c r="E149" s="63" t="s">
        <v>19</v>
      </c>
      <c r="F149" s="66" t="s">
        <v>16</v>
      </c>
      <c r="G149" s="58" t="s">
        <v>71</v>
      </c>
      <c r="H149" s="59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7"/>
      <c r="BV149" s="7"/>
      <c r="BW149" s="7"/>
      <c r="BX149" s="7"/>
      <c r="BY149" s="7"/>
      <c r="BZ149" s="7"/>
      <c r="CA149" s="7"/>
      <c r="CB149" s="7"/>
      <c r="CC149" s="7"/>
      <c r="CD149" s="7"/>
      <c r="CE149" s="7"/>
      <c r="CF149" s="7"/>
      <c r="CG149" s="7"/>
      <c r="CH149" s="7"/>
      <c r="CI149" s="7"/>
      <c r="CJ149" s="7"/>
      <c r="CK149" s="7"/>
      <c r="CL149" s="7"/>
      <c r="CM149" s="7"/>
      <c r="CN149" s="7"/>
      <c r="CO149" s="7"/>
      <c r="CP149" s="7"/>
      <c r="CQ149" s="7"/>
      <c r="CR149" s="7"/>
      <c r="CS149" s="7"/>
      <c r="CT149" s="7"/>
      <c r="CU149" s="7"/>
      <c r="CV149" s="7"/>
      <c r="CW149" s="7"/>
      <c r="CX149" s="7"/>
      <c r="CY149" s="7"/>
      <c r="CZ149" s="7"/>
      <c r="DA149" s="7"/>
      <c r="DB149" s="7"/>
      <c r="DC149" s="7"/>
      <c r="DD149" s="7"/>
      <c r="DE149" s="7"/>
      <c r="DF149" s="7"/>
      <c r="DG149" s="7"/>
      <c r="DH149" s="7"/>
      <c r="DI149" s="7"/>
      <c r="DJ149" s="7"/>
      <c r="DK149" s="7"/>
      <c r="DL149" s="7"/>
      <c r="DM149" s="7"/>
      <c r="DN149" s="7"/>
      <c r="DO149" s="7"/>
      <c r="DP149" s="7"/>
      <c r="DQ149" s="7"/>
      <c r="DR149" s="7"/>
      <c r="DS149" s="7"/>
      <c r="DT149" s="7"/>
      <c r="DU149" s="7"/>
      <c r="DV149" s="7"/>
      <c r="DW149" s="7"/>
      <c r="DX149" s="7"/>
      <c r="DY149" s="7"/>
      <c r="DZ149" s="7"/>
      <c r="EA149" s="7"/>
      <c r="EB149" s="7"/>
      <c r="EC149" s="7"/>
      <c r="ED149" s="7"/>
      <c r="EE149" s="7"/>
      <c r="EF149" s="7"/>
      <c r="EG149" s="7"/>
      <c r="EH149" s="7"/>
      <c r="EI149" s="7"/>
      <c r="EJ149" s="7"/>
      <c r="EK149" s="7"/>
      <c r="EL149" s="7"/>
      <c r="EM149" s="7"/>
      <c r="EN149" s="7"/>
      <c r="EO149" s="7"/>
      <c r="EP149" s="7"/>
      <c r="EQ149" s="7"/>
      <c r="ER149" s="7"/>
      <c r="ES149" s="7"/>
      <c r="ET149" s="7"/>
      <c r="EU149" s="7"/>
      <c r="EV149" s="7"/>
      <c r="EW149" s="7"/>
      <c r="EX149" s="7"/>
      <c r="EY149" s="7"/>
      <c r="EZ149" s="7"/>
      <c r="FA149" s="7"/>
      <c r="FB149" s="7"/>
      <c r="FC149" s="7"/>
      <c r="FD149" s="7"/>
      <c r="FE149" s="7"/>
      <c r="FF149" s="7"/>
      <c r="FG149" s="7"/>
      <c r="FH149" s="7"/>
      <c r="FI149" s="7"/>
      <c r="FJ149" s="7"/>
      <c r="FK149" s="7"/>
      <c r="FL149" s="7"/>
      <c r="FM149" s="7"/>
      <c r="FN149" s="7"/>
      <c r="FO149" s="7"/>
      <c r="FP149" s="7"/>
      <c r="FQ149" s="7"/>
      <c r="FR149" s="7"/>
      <c r="FS149" s="7"/>
      <c r="FT149" s="7"/>
      <c r="FU149" s="7"/>
      <c r="FV149" s="7"/>
      <c r="FW149" s="7"/>
      <c r="FX149" s="7"/>
      <c r="FY149" s="7"/>
      <c r="FZ149" s="7"/>
      <c r="GA149" s="7"/>
      <c r="GB149" s="7"/>
      <c r="GC149" s="7"/>
      <c r="GD149" s="7"/>
      <c r="GE149" s="7"/>
      <c r="GF149" s="7"/>
      <c r="GG149" s="7"/>
      <c r="GH149" s="7"/>
      <c r="GI149" s="7"/>
      <c r="GJ149" s="7"/>
      <c r="GK149" s="7"/>
      <c r="GL149" s="7"/>
      <c r="GM149" s="7"/>
      <c r="GN149" s="7"/>
      <c r="GO149" s="7"/>
      <c r="GP149" s="7"/>
      <c r="GQ149" s="7"/>
      <c r="GR149" s="7"/>
      <c r="GS149" s="7"/>
      <c r="GT149" s="7"/>
      <c r="GU149" s="7"/>
      <c r="GV149" s="7"/>
      <c r="GW149" s="7"/>
      <c r="GX149" s="7"/>
      <c r="GY149" s="7"/>
      <c r="GZ149" s="7"/>
      <c r="HA149" s="7"/>
      <c r="HB149" s="7"/>
      <c r="HC149" s="7"/>
      <c r="HD149" s="7"/>
      <c r="HE149" s="7"/>
      <c r="HF149" s="7"/>
      <c r="HG149" s="7"/>
      <c r="HH149" s="7"/>
      <c r="HI149" s="7"/>
      <c r="HJ149" s="7"/>
      <c r="HK149" s="7"/>
      <c r="HL149" s="7"/>
      <c r="HM149" s="7"/>
      <c r="HN149" s="7"/>
      <c r="HO149" s="7"/>
      <c r="HP149" s="7"/>
      <c r="HQ149" s="7"/>
      <c r="HR149" s="7"/>
      <c r="HS149" s="7"/>
      <c r="HT149" s="7"/>
      <c r="HU149" s="7"/>
      <c r="HV149" s="7"/>
      <c r="HW149" s="7"/>
      <c r="HX149" s="7"/>
      <c r="HY149" s="7"/>
    </row>
    <row r="150" spans="1:233">
      <c r="A150" s="56" t="s">
        <v>193</v>
      </c>
      <c r="B150" s="56" t="s">
        <v>194</v>
      </c>
      <c r="C150" s="56" t="s">
        <v>30</v>
      </c>
      <c r="D150" s="60">
        <v>45000</v>
      </c>
      <c r="E150" s="63" t="s">
        <v>18</v>
      </c>
      <c r="F150" s="66" t="s">
        <v>5</v>
      </c>
      <c r="G150" s="58" t="s">
        <v>81</v>
      </c>
      <c r="H150" s="59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7"/>
      <c r="BY150" s="7"/>
      <c r="BZ150" s="7"/>
      <c r="CA150" s="7"/>
      <c r="CB150" s="7"/>
      <c r="CC150" s="7"/>
      <c r="CD150" s="7"/>
      <c r="CE150" s="7"/>
      <c r="CF150" s="7"/>
      <c r="CG150" s="7"/>
      <c r="CH150" s="7"/>
      <c r="CI150" s="7"/>
      <c r="CJ150" s="7"/>
      <c r="CK150" s="7"/>
      <c r="CL150" s="7"/>
      <c r="CM150" s="7"/>
      <c r="CN150" s="7"/>
      <c r="CO150" s="7"/>
      <c r="CP150" s="7"/>
      <c r="CQ150" s="7"/>
      <c r="CR150" s="7"/>
      <c r="CS150" s="7"/>
      <c r="CT150" s="7"/>
      <c r="CU150" s="7"/>
      <c r="CV150" s="7"/>
      <c r="CW150" s="7"/>
      <c r="CX150" s="7"/>
      <c r="CY150" s="7"/>
      <c r="CZ150" s="7"/>
      <c r="DA150" s="7"/>
      <c r="DB150" s="7"/>
      <c r="DC150" s="7"/>
      <c r="DD150" s="7"/>
      <c r="DE150" s="7"/>
      <c r="DF150" s="7"/>
      <c r="DG150" s="7"/>
      <c r="DH150" s="7"/>
      <c r="DI150" s="7"/>
      <c r="DJ150" s="7"/>
      <c r="DK150" s="7"/>
      <c r="DL150" s="7"/>
      <c r="DM150" s="7"/>
      <c r="DN150" s="7"/>
      <c r="DO150" s="7"/>
      <c r="DP150" s="7"/>
      <c r="DQ150" s="7"/>
      <c r="DR150" s="7"/>
      <c r="DS150" s="7"/>
      <c r="DT150" s="7"/>
      <c r="DU150" s="7"/>
      <c r="DV150" s="7"/>
      <c r="DW150" s="7"/>
      <c r="DX150" s="7"/>
      <c r="DY150" s="7"/>
      <c r="DZ150" s="7"/>
      <c r="EA150" s="7"/>
      <c r="EB150" s="7"/>
      <c r="EC150" s="7"/>
      <c r="ED150" s="7"/>
      <c r="EE150" s="7"/>
      <c r="EF150" s="7"/>
      <c r="EG150" s="7"/>
      <c r="EH150" s="7"/>
      <c r="EI150" s="7"/>
      <c r="EJ150" s="7"/>
      <c r="EK150" s="7"/>
      <c r="EL150" s="7"/>
      <c r="EM150" s="7"/>
      <c r="EN150" s="7"/>
      <c r="EO150" s="7"/>
      <c r="EP150" s="7"/>
      <c r="EQ150" s="7"/>
      <c r="ER150" s="7"/>
      <c r="ES150" s="7"/>
      <c r="ET150" s="7"/>
      <c r="EU150" s="7"/>
      <c r="EV150" s="7"/>
      <c r="EW150" s="7"/>
      <c r="EX150" s="7"/>
      <c r="EY150" s="7"/>
      <c r="EZ150" s="7"/>
      <c r="FA150" s="7"/>
      <c r="FB150" s="7"/>
      <c r="FC150" s="7"/>
      <c r="FD150" s="7"/>
      <c r="FE150" s="7"/>
      <c r="FF150" s="7"/>
      <c r="FG150" s="7"/>
      <c r="FH150" s="7"/>
      <c r="FI150" s="7"/>
      <c r="FJ150" s="7"/>
      <c r="FK150" s="7"/>
      <c r="FL150" s="7"/>
      <c r="FM150" s="7"/>
      <c r="FN150" s="7"/>
      <c r="FO150" s="7"/>
      <c r="FP150" s="7"/>
      <c r="FQ150" s="7"/>
      <c r="FR150" s="7"/>
      <c r="FS150" s="7"/>
      <c r="FT150" s="7"/>
      <c r="FU150" s="7"/>
      <c r="FV150" s="7"/>
      <c r="FW150" s="7"/>
      <c r="FX150" s="7"/>
      <c r="FY150" s="7"/>
      <c r="FZ150" s="7"/>
      <c r="GA150" s="7"/>
      <c r="GB150" s="7"/>
      <c r="GC150" s="7"/>
      <c r="GD150" s="7"/>
      <c r="GE150" s="7"/>
      <c r="GF150" s="7"/>
      <c r="GG150" s="7"/>
      <c r="GH150" s="7"/>
      <c r="GI150" s="7"/>
      <c r="GJ150" s="7"/>
      <c r="GK150" s="7"/>
      <c r="GL150" s="7"/>
      <c r="GM150" s="7"/>
      <c r="GN150" s="7"/>
      <c r="GO150" s="7"/>
      <c r="GP150" s="7"/>
      <c r="GQ150" s="7"/>
      <c r="GR150" s="7"/>
      <c r="GS150" s="7"/>
      <c r="GT150" s="7"/>
      <c r="GU150" s="7"/>
      <c r="GV150" s="7"/>
      <c r="GW150" s="7"/>
      <c r="GX150" s="7"/>
      <c r="GY150" s="7"/>
      <c r="GZ150" s="7"/>
      <c r="HA150" s="7"/>
      <c r="HB150" s="7"/>
      <c r="HC150" s="7"/>
      <c r="HD150" s="7"/>
      <c r="HE150" s="7"/>
      <c r="HF150" s="7"/>
      <c r="HG150" s="7"/>
      <c r="HH150" s="7"/>
      <c r="HI150" s="7"/>
      <c r="HJ150" s="7"/>
      <c r="HK150" s="7"/>
      <c r="HL150" s="7"/>
      <c r="HM150" s="7"/>
      <c r="HN150" s="7"/>
      <c r="HO150" s="7"/>
      <c r="HP150" s="7"/>
      <c r="HQ150" s="7"/>
      <c r="HR150" s="7"/>
      <c r="HS150" s="7"/>
      <c r="HT150" s="7"/>
      <c r="HU150" s="7"/>
      <c r="HV150" s="7"/>
      <c r="HW150" s="7"/>
      <c r="HX150" s="7"/>
      <c r="HY150" s="7"/>
    </row>
    <row r="151" spans="1:233">
      <c r="A151" s="56" t="s">
        <v>195</v>
      </c>
      <c r="B151" s="56" t="s">
        <v>196</v>
      </c>
      <c r="C151" s="56" t="s">
        <v>28</v>
      </c>
      <c r="D151" s="60">
        <v>6732</v>
      </c>
      <c r="E151" s="63" t="s">
        <v>22</v>
      </c>
      <c r="F151" s="66" t="s">
        <v>16</v>
      </c>
      <c r="G151" s="58" t="s">
        <v>70</v>
      </c>
      <c r="H151" s="59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7"/>
      <c r="BY151" s="7"/>
      <c r="BZ151" s="7"/>
      <c r="CA151" s="7"/>
      <c r="CB151" s="7"/>
      <c r="CC151" s="7"/>
      <c r="CD151" s="7"/>
      <c r="CE151" s="7"/>
      <c r="CF151" s="7"/>
      <c r="CG151" s="7"/>
      <c r="CH151" s="7"/>
      <c r="CI151" s="7"/>
      <c r="CJ151" s="7"/>
      <c r="CK151" s="7"/>
      <c r="CL151" s="7"/>
      <c r="CM151" s="7"/>
      <c r="CN151" s="7"/>
      <c r="CO151" s="7"/>
      <c r="CP151" s="7"/>
      <c r="CQ151" s="7"/>
      <c r="CR151" s="7"/>
      <c r="CS151" s="7"/>
      <c r="CT151" s="7"/>
      <c r="CU151" s="7"/>
      <c r="CV151" s="7"/>
      <c r="CW151" s="7"/>
      <c r="CX151" s="7"/>
      <c r="CY151" s="7"/>
      <c r="CZ151" s="7"/>
      <c r="DA151" s="7"/>
      <c r="DB151" s="7"/>
      <c r="DC151" s="7"/>
      <c r="DD151" s="7"/>
      <c r="DE151" s="7"/>
      <c r="DF151" s="7"/>
      <c r="DG151" s="7"/>
      <c r="DH151" s="7"/>
      <c r="DI151" s="7"/>
      <c r="DJ151" s="7"/>
      <c r="DK151" s="7"/>
      <c r="DL151" s="7"/>
      <c r="DM151" s="7"/>
      <c r="DN151" s="7"/>
      <c r="DO151" s="7"/>
      <c r="DP151" s="7"/>
      <c r="DQ151" s="7"/>
      <c r="DR151" s="7"/>
      <c r="DS151" s="7"/>
      <c r="DT151" s="7"/>
      <c r="DU151" s="7"/>
      <c r="DV151" s="7"/>
      <c r="DW151" s="7"/>
      <c r="DX151" s="7"/>
      <c r="DY151" s="7"/>
      <c r="DZ151" s="7"/>
      <c r="EA151" s="7"/>
      <c r="EB151" s="7"/>
      <c r="EC151" s="7"/>
      <c r="ED151" s="7"/>
      <c r="EE151" s="7"/>
      <c r="EF151" s="7"/>
      <c r="EG151" s="7"/>
      <c r="EH151" s="7"/>
      <c r="EI151" s="7"/>
      <c r="EJ151" s="7"/>
      <c r="EK151" s="7"/>
      <c r="EL151" s="7"/>
      <c r="EM151" s="7"/>
      <c r="EN151" s="7"/>
      <c r="EO151" s="7"/>
      <c r="EP151" s="7"/>
      <c r="EQ151" s="7"/>
      <c r="ER151" s="7"/>
      <c r="ES151" s="7"/>
      <c r="ET151" s="7"/>
      <c r="EU151" s="7"/>
      <c r="EV151" s="7"/>
      <c r="EW151" s="7"/>
      <c r="EX151" s="7"/>
      <c r="EY151" s="7"/>
      <c r="EZ151" s="7"/>
      <c r="FA151" s="7"/>
      <c r="FB151" s="7"/>
      <c r="FC151" s="7"/>
      <c r="FD151" s="7"/>
      <c r="FE151" s="7"/>
      <c r="FF151" s="7"/>
      <c r="FG151" s="7"/>
      <c r="FH151" s="7"/>
      <c r="FI151" s="7"/>
      <c r="FJ151" s="7"/>
      <c r="FK151" s="7"/>
      <c r="FL151" s="7"/>
      <c r="FM151" s="7"/>
      <c r="FN151" s="7"/>
      <c r="FO151" s="7"/>
      <c r="FP151" s="7"/>
      <c r="FQ151" s="7"/>
      <c r="FR151" s="7"/>
      <c r="FS151" s="7"/>
      <c r="FT151" s="7"/>
      <c r="FU151" s="7"/>
      <c r="FV151" s="7"/>
      <c r="FW151" s="7"/>
      <c r="FX151" s="7"/>
      <c r="FY151" s="7"/>
      <c r="FZ151" s="7"/>
      <c r="GA151" s="7"/>
      <c r="GB151" s="7"/>
      <c r="GC151" s="7"/>
      <c r="GD151" s="7"/>
      <c r="GE151" s="7"/>
      <c r="GF151" s="7"/>
      <c r="GG151" s="7"/>
      <c r="GH151" s="7"/>
      <c r="GI151" s="7"/>
      <c r="GJ151" s="7"/>
      <c r="GK151" s="7"/>
      <c r="GL151" s="7"/>
      <c r="GM151" s="7"/>
      <c r="GN151" s="7"/>
      <c r="GO151" s="7"/>
      <c r="GP151" s="7"/>
      <c r="GQ151" s="7"/>
      <c r="GR151" s="7"/>
      <c r="GS151" s="7"/>
      <c r="GT151" s="7"/>
      <c r="GU151" s="7"/>
      <c r="GV151" s="7"/>
      <c r="GW151" s="7"/>
      <c r="GX151" s="7"/>
      <c r="GY151" s="7"/>
      <c r="GZ151" s="7"/>
      <c r="HA151" s="7"/>
      <c r="HB151" s="7"/>
      <c r="HC151" s="7"/>
      <c r="HD151" s="7"/>
      <c r="HE151" s="7"/>
      <c r="HF151" s="7"/>
      <c r="HG151" s="7"/>
      <c r="HH151" s="7"/>
      <c r="HI151" s="7"/>
      <c r="HJ151" s="7"/>
      <c r="HK151" s="7"/>
      <c r="HL151" s="7"/>
      <c r="HM151" s="7"/>
      <c r="HN151" s="7"/>
      <c r="HO151" s="7"/>
      <c r="HP151" s="7"/>
      <c r="HQ151" s="7"/>
      <c r="HR151" s="7"/>
      <c r="HS151" s="7"/>
      <c r="HT151" s="7"/>
      <c r="HU151" s="7"/>
      <c r="HV151" s="7"/>
      <c r="HW151" s="7"/>
      <c r="HX151" s="7"/>
      <c r="HY151" s="7"/>
    </row>
    <row r="152" spans="1:233">
      <c r="A152" s="56" t="s">
        <v>195</v>
      </c>
      <c r="B152" s="56" t="s">
        <v>196</v>
      </c>
      <c r="C152" s="56" t="s">
        <v>29</v>
      </c>
      <c r="D152" s="60">
        <v>305950.75</v>
      </c>
      <c r="E152" s="63" t="s">
        <v>19</v>
      </c>
      <c r="F152" s="66" t="s">
        <v>16</v>
      </c>
      <c r="G152" s="58" t="s">
        <v>71</v>
      </c>
      <c r="H152" s="59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7"/>
      <c r="BV152" s="7"/>
      <c r="BW152" s="7"/>
      <c r="BX152" s="7"/>
      <c r="BY152" s="7"/>
      <c r="BZ152" s="7"/>
      <c r="CA152" s="7"/>
      <c r="CB152" s="7"/>
      <c r="CC152" s="7"/>
      <c r="CD152" s="7"/>
      <c r="CE152" s="7"/>
      <c r="CF152" s="7"/>
      <c r="CG152" s="7"/>
      <c r="CH152" s="7"/>
      <c r="CI152" s="7"/>
      <c r="CJ152" s="7"/>
      <c r="CK152" s="7"/>
      <c r="CL152" s="7"/>
      <c r="CM152" s="7"/>
      <c r="CN152" s="7"/>
      <c r="CO152" s="7"/>
      <c r="CP152" s="7"/>
      <c r="CQ152" s="7"/>
      <c r="CR152" s="7"/>
      <c r="CS152" s="7"/>
      <c r="CT152" s="7"/>
      <c r="CU152" s="7"/>
      <c r="CV152" s="7"/>
      <c r="CW152" s="7"/>
      <c r="CX152" s="7"/>
      <c r="CY152" s="7"/>
      <c r="CZ152" s="7"/>
      <c r="DA152" s="7"/>
      <c r="DB152" s="7"/>
      <c r="DC152" s="7"/>
      <c r="DD152" s="7"/>
      <c r="DE152" s="7"/>
      <c r="DF152" s="7"/>
      <c r="DG152" s="7"/>
      <c r="DH152" s="7"/>
      <c r="DI152" s="7"/>
      <c r="DJ152" s="7"/>
      <c r="DK152" s="7"/>
      <c r="DL152" s="7"/>
      <c r="DM152" s="7"/>
      <c r="DN152" s="7"/>
      <c r="DO152" s="7"/>
      <c r="DP152" s="7"/>
      <c r="DQ152" s="7"/>
      <c r="DR152" s="7"/>
      <c r="DS152" s="7"/>
      <c r="DT152" s="7"/>
      <c r="DU152" s="7"/>
      <c r="DV152" s="7"/>
      <c r="DW152" s="7"/>
      <c r="DX152" s="7"/>
      <c r="DY152" s="7"/>
      <c r="DZ152" s="7"/>
      <c r="EA152" s="7"/>
      <c r="EB152" s="7"/>
      <c r="EC152" s="7"/>
      <c r="ED152" s="7"/>
      <c r="EE152" s="7"/>
      <c r="EF152" s="7"/>
      <c r="EG152" s="7"/>
      <c r="EH152" s="7"/>
      <c r="EI152" s="7"/>
      <c r="EJ152" s="7"/>
      <c r="EK152" s="7"/>
      <c r="EL152" s="7"/>
      <c r="EM152" s="7"/>
      <c r="EN152" s="7"/>
      <c r="EO152" s="7"/>
      <c r="EP152" s="7"/>
      <c r="EQ152" s="7"/>
      <c r="ER152" s="7"/>
      <c r="ES152" s="7"/>
      <c r="ET152" s="7"/>
      <c r="EU152" s="7"/>
      <c r="EV152" s="7"/>
      <c r="EW152" s="7"/>
      <c r="EX152" s="7"/>
      <c r="EY152" s="7"/>
      <c r="EZ152" s="7"/>
      <c r="FA152" s="7"/>
      <c r="FB152" s="7"/>
      <c r="FC152" s="7"/>
      <c r="FD152" s="7"/>
      <c r="FE152" s="7"/>
      <c r="FF152" s="7"/>
      <c r="FG152" s="7"/>
      <c r="FH152" s="7"/>
      <c r="FI152" s="7"/>
      <c r="FJ152" s="7"/>
      <c r="FK152" s="7"/>
      <c r="FL152" s="7"/>
      <c r="FM152" s="7"/>
      <c r="FN152" s="7"/>
      <c r="FO152" s="7"/>
      <c r="FP152" s="7"/>
      <c r="FQ152" s="7"/>
      <c r="FR152" s="7"/>
      <c r="FS152" s="7"/>
      <c r="FT152" s="7"/>
      <c r="FU152" s="7"/>
      <c r="FV152" s="7"/>
      <c r="FW152" s="7"/>
      <c r="FX152" s="7"/>
      <c r="FY152" s="7"/>
      <c r="FZ152" s="7"/>
      <c r="GA152" s="7"/>
      <c r="GB152" s="7"/>
      <c r="GC152" s="7"/>
      <c r="GD152" s="7"/>
      <c r="GE152" s="7"/>
      <c r="GF152" s="7"/>
      <c r="GG152" s="7"/>
      <c r="GH152" s="7"/>
      <c r="GI152" s="7"/>
      <c r="GJ152" s="7"/>
      <c r="GK152" s="7"/>
      <c r="GL152" s="7"/>
      <c r="GM152" s="7"/>
      <c r="GN152" s="7"/>
      <c r="GO152" s="7"/>
      <c r="GP152" s="7"/>
      <c r="GQ152" s="7"/>
      <c r="GR152" s="7"/>
      <c r="GS152" s="7"/>
      <c r="GT152" s="7"/>
      <c r="GU152" s="7"/>
      <c r="GV152" s="7"/>
      <c r="GW152" s="7"/>
      <c r="GX152" s="7"/>
      <c r="GY152" s="7"/>
      <c r="GZ152" s="7"/>
      <c r="HA152" s="7"/>
      <c r="HB152" s="7"/>
      <c r="HC152" s="7"/>
      <c r="HD152" s="7"/>
      <c r="HE152" s="7"/>
      <c r="HF152" s="7"/>
      <c r="HG152" s="7"/>
      <c r="HH152" s="7"/>
      <c r="HI152" s="7"/>
      <c r="HJ152" s="7"/>
      <c r="HK152" s="7"/>
      <c r="HL152" s="7"/>
      <c r="HM152" s="7"/>
      <c r="HN152" s="7"/>
      <c r="HO152" s="7"/>
      <c r="HP152" s="7"/>
      <c r="HQ152" s="7"/>
      <c r="HR152" s="7"/>
      <c r="HS152" s="7"/>
      <c r="HT152" s="7"/>
      <c r="HU152" s="7"/>
      <c r="HV152" s="7"/>
      <c r="HW152" s="7"/>
      <c r="HX152" s="7"/>
      <c r="HY152" s="7"/>
    </row>
    <row r="153" spans="1:233">
      <c r="A153" s="56" t="s">
        <v>197</v>
      </c>
      <c r="B153" s="56" t="s">
        <v>198</v>
      </c>
      <c r="C153" s="56" t="s">
        <v>30</v>
      </c>
      <c r="D153" s="60">
        <v>-325655.61</v>
      </c>
      <c r="E153" s="63" t="s">
        <v>18</v>
      </c>
      <c r="F153" s="66" t="s">
        <v>0</v>
      </c>
      <c r="G153" s="58" t="s">
        <v>35</v>
      </c>
      <c r="H153" s="59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BS153" s="7"/>
      <c r="BT153" s="7"/>
      <c r="BU153" s="7"/>
      <c r="BV153" s="7"/>
      <c r="BW153" s="7"/>
      <c r="BX153" s="7"/>
      <c r="BY153" s="7"/>
      <c r="BZ153" s="7"/>
      <c r="CA153" s="7"/>
      <c r="CB153" s="7"/>
      <c r="CC153" s="7"/>
      <c r="CD153" s="7"/>
      <c r="CE153" s="7"/>
      <c r="CF153" s="7"/>
      <c r="CG153" s="7"/>
      <c r="CH153" s="7"/>
      <c r="CI153" s="7"/>
      <c r="CJ153" s="7"/>
      <c r="CK153" s="7"/>
      <c r="CL153" s="7"/>
      <c r="CM153" s="7"/>
      <c r="CN153" s="7"/>
      <c r="CO153" s="7"/>
      <c r="CP153" s="7"/>
      <c r="CQ153" s="7"/>
      <c r="CR153" s="7"/>
      <c r="CS153" s="7"/>
      <c r="CT153" s="7"/>
      <c r="CU153" s="7"/>
      <c r="CV153" s="7"/>
      <c r="CW153" s="7"/>
      <c r="CX153" s="7"/>
      <c r="CY153" s="7"/>
      <c r="CZ153" s="7"/>
      <c r="DA153" s="7"/>
      <c r="DB153" s="7"/>
      <c r="DC153" s="7"/>
      <c r="DD153" s="7"/>
      <c r="DE153" s="7"/>
      <c r="DF153" s="7"/>
      <c r="DG153" s="7"/>
      <c r="DH153" s="7"/>
      <c r="DI153" s="7"/>
      <c r="DJ153" s="7"/>
      <c r="DK153" s="7"/>
      <c r="DL153" s="7"/>
      <c r="DM153" s="7"/>
      <c r="DN153" s="7"/>
      <c r="DO153" s="7"/>
      <c r="DP153" s="7"/>
      <c r="DQ153" s="7"/>
      <c r="DR153" s="7"/>
      <c r="DS153" s="7"/>
      <c r="DT153" s="7"/>
      <c r="DU153" s="7"/>
      <c r="DV153" s="7"/>
      <c r="DW153" s="7"/>
      <c r="DX153" s="7"/>
      <c r="DY153" s="7"/>
      <c r="DZ153" s="7"/>
      <c r="EA153" s="7"/>
      <c r="EB153" s="7"/>
      <c r="EC153" s="7"/>
      <c r="ED153" s="7"/>
      <c r="EE153" s="7"/>
      <c r="EF153" s="7"/>
      <c r="EG153" s="7"/>
      <c r="EH153" s="7"/>
      <c r="EI153" s="7"/>
      <c r="EJ153" s="7"/>
      <c r="EK153" s="7"/>
      <c r="EL153" s="7"/>
      <c r="EM153" s="7"/>
      <c r="EN153" s="7"/>
      <c r="EO153" s="7"/>
      <c r="EP153" s="7"/>
      <c r="EQ153" s="7"/>
      <c r="ER153" s="7"/>
      <c r="ES153" s="7"/>
      <c r="ET153" s="7"/>
      <c r="EU153" s="7"/>
      <c r="EV153" s="7"/>
      <c r="EW153" s="7"/>
      <c r="EX153" s="7"/>
      <c r="EY153" s="7"/>
      <c r="EZ153" s="7"/>
      <c r="FA153" s="7"/>
      <c r="FB153" s="7"/>
      <c r="FC153" s="7"/>
      <c r="FD153" s="7"/>
      <c r="FE153" s="7"/>
      <c r="FF153" s="7"/>
      <c r="FG153" s="7"/>
      <c r="FH153" s="7"/>
      <c r="FI153" s="7"/>
      <c r="FJ153" s="7"/>
      <c r="FK153" s="7"/>
      <c r="FL153" s="7"/>
      <c r="FM153" s="7"/>
      <c r="FN153" s="7"/>
      <c r="FO153" s="7"/>
      <c r="FP153" s="7"/>
      <c r="FQ153" s="7"/>
      <c r="FR153" s="7"/>
      <c r="FS153" s="7"/>
      <c r="FT153" s="7"/>
      <c r="FU153" s="7"/>
      <c r="FV153" s="7"/>
      <c r="FW153" s="7"/>
      <c r="FX153" s="7"/>
      <c r="FY153" s="7"/>
      <c r="FZ153" s="7"/>
      <c r="GA153" s="7"/>
      <c r="GB153" s="7"/>
      <c r="GC153" s="7"/>
      <c r="GD153" s="7"/>
      <c r="GE153" s="7"/>
      <c r="GF153" s="7"/>
      <c r="GG153" s="7"/>
      <c r="GH153" s="7"/>
      <c r="GI153" s="7"/>
      <c r="GJ153" s="7"/>
      <c r="GK153" s="7"/>
      <c r="GL153" s="7"/>
      <c r="GM153" s="7"/>
      <c r="GN153" s="7"/>
      <c r="GO153" s="7"/>
      <c r="GP153" s="7"/>
      <c r="GQ153" s="7"/>
      <c r="GR153" s="7"/>
      <c r="GS153" s="7"/>
      <c r="GT153" s="7"/>
      <c r="GU153" s="7"/>
      <c r="GV153" s="7"/>
      <c r="GW153" s="7"/>
      <c r="GX153" s="7"/>
      <c r="GY153" s="7"/>
      <c r="GZ153" s="7"/>
      <c r="HA153" s="7"/>
      <c r="HB153" s="7"/>
      <c r="HC153" s="7"/>
      <c r="HD153" s="7"/>
      <c r="HE153" s="7"/>
      <c r="HF153" s="7"/>
      <c r="HG153" s="7"/>
      <c r="HH153" s="7"/>
      <c r="HI153" s="7"/>
      <c r="HJ153" s="7"/>
      <c r="HK153" s="7"/>
      <c r="HL153" s="7"/>
      <c r="HM153" s="7"/>
      <c r="HN153" s="7"/>
      <c r="HO153" s="7"/>
      <c r="HP153" s="7"/>
      <c r="HQ153" s="7"/>
      <c r="HR153" s="7"/>
      <c r="HS153" s="7"/>
      <c r="HT153" s="7"/>
      <c r="HU153" s="7"/>
      <c r="HV153" s="7"/>
      <c r="HW153" s="7"/>
      <c r="HX153" s="7"/>
      <c r="HY153" s="7"/>
    </row>
    <row r="154" spans="1:233">
      <c r="A154" s="56" t="s">
        <v>197</v>
      </c>
      <c r="B154" s="56" t="s">
        <v>198</v>
      </c>
      <c r="C154" s="56" t="s">
        <v>30</v>
      </c>
      <c r="D154" s="60">
        <v>-503149.57</v>
      </c>
      <c r="E154" s="63" t="s">
        <v>18</v>
      </c>
      <c r="F154" s="66" t="s">
        <v>0</v>
      </c>
      <c r="G154" s="58" t="s">
        <v>35</v>
      </c>
      <c r="H154" s="59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BS154" s="7"/>
      <c r="BT154" s="7"/>
      <c r="BU154" s="7"/>
      <c r="BV154" s="7"/>
      <c r="BW154" s="7"/>
      <c r="BX154" s="7"/>
      <c r="BY154" s="7"/>
      <c r="BZ154" s="7"/>
      <c r="CA154" s="7"/>
      <c r="CB154" s="7"/>
      <c r="CC154" s="7"/>
      <c r="CD154" s="7"/>
      <c r="CE154" s="7"/>
      <c r="CF154" s="7"/>
      <c r="CG154" s="7"/>
      <c r="CH154" s="7"/>
      <c r="CI154" s="7"/>
      <c r="CJ154" s="7"/>
      <c r="CK154" s="7"/>
      <c r="CL154" s="7"/>
      <c r="CM154" s="7"/>
      <c r="CN154" s="7"/>
      <c r="CO154" s="7"/>
      <c r="CP154" s="7"/>
      <c r="CQ154" s="7"/>
      <c r="CR154" s="7"/>
      <c r="CS154" s="7"/>
      <c r="CT154" s="7"/>
      <c r="CU154" s="7"/>
      <c r="CV154" s="7"/>
      <c r="CW154" s="7"/>
      <c r="CX154" s="7"/>
      <c r="CY154" s="7"/>
      <c r="CZ154" s="7"/>
      <c r="DA154" s="7"/>
      <c r="DB154" s="7"/>
      <c r="DC154" s="7"/>
      <c r="DD154" s="7"/>
      <c r="DE154" s="7"/>
      <c r="DF154" s="7"/>
      <c r="DG154" s="7"/>
      <c r="DH154" s="7"/>
      <c r="DI154" s="7"/>
      <c r="DJ154" s="7"/>
      <c r="DK154" s="7"/>
      <c r="DL154" s="7"/>
      <c r="DM154" s="7"/>
      <c r="DN154" s="7"/>
      <c r="DO154" s="7"/>
      <c r="DP154" s="7"/>
      <c r="DQ154" s="7"/>
      <c r="DR154" s="7"/>
      <c r="DS154" s="7"/>
      <c r="DT154" s="7"/>
      <c r="DU154" s="7"/>
      <c r="DV154" s="7"/>
      <c r="DW154" s="7"/>
      <c r="DX154" s="7"/>
      <c r="DY154" s="7"/>
      <c r="DZ154" s="7"/>
      <c r="EA154" s="7"/>
      <c r="EB154" s="7"/>
      <c r="EC154" s="7"/>
      <c r="ED154" s="7"/>
      <c r="EE154" s="7"/>
      <c r="EF154" s="7"/>
      <c r="EG154" s="7"/>
      <c r="EH154" s="7"/>
      <c r="EI154" s="7"/>
      <c r="EJ154" s="7"/>
      <c r="EK154" s="7"/>
      <c r="EL154" s="7"/>
      <c r="EM154" s="7"/>
      <c r="EN154" s="7"/>
      <c r="EO154" s="7"/>
      <c r="EP154" s="7"/>
      <c r="EQ154" s="7"/>
      <c r="ER154" s="7"/>
      <c r="ES154" s="7"/>
      <c r="ET154" s="7"/>
      <c r="EU154" s="7"/>
      <c r="EV154" s="7"/>
      <c r="EW154" s="7"/>
      <c r="EX154" s="7"/>
      <c r="EY154" s="7"/>
      <c r="EZ154" s="7"/>
      <c r="FA154" s="7"/>
      <c r="FB154" s="7"/>
      <c r="FC154" s="7"/>
      <c r="FD154" s="7"/>
      <c r="FE154" s="7"/>
      <c r="FF154" s="7"/>
      <c r="FG154" s="7"/>
      <c r="FH154" s="7"/>
      <c r="FI154" s="7"/>
      <c r="FJ154" s="7"/>
      <c r="FK154" s="7"/>
      <c r="FL154" s="7"/>
      <c r="FM154" s="7"/>
      <c r="FN154" s="7"/>
      <c r="FO154" s="7"/>
      <c r="FP154" s="7"/>
      <c r="FQ154" s="7"/>
      <c r="FR154" s="7"/>
      <c r="FS154" s="7"/>
      <c r="FT154" s="7"/>
      <c r="FU154" s="7"/>
      <c r="FV154" s="7"/>
      <c r="FW154" s="7"/>
      <c r="FX154" s="7"/>
      <c r="FY154" s="7"/>
      <c r="FZ154" s="7"/>
      <c r="GA154" s="7"/>
      <c r="GB154" s="7"/>
      <c r="GC154" s="7"/>
      <c r="GD154" s="7"/>
      <c r="GE154" s="7"/>
      <c r="GF154" s="7"/>
      <c r="GG154" s="7"/>
      <c r="GH154" s="7"/>
      <c r="GI154" s="7"/>
      <c r="GJ154" s="7"/>
      <c r="GK154" s="7"/>
      <c r="GL154" s="7"/>
      <c r="GM154" s="7"/>
      <c r="GN154" s="7"/>
      <c r="GO154" s="7"/>
      <c r="GP154" s="7"/>
      <c r="GQ154" s="7"/>
      <c r="GR154" s="7"/>
      <c r="GS154" s="7"/>
      <c r="GT154" s="7"/>
      <c r="GU154" s="7"/>
      <c r="GV154" s="7"/>
      <c r="GW154" s="7"/>
      <c r="GX154" s="7"/>
      <c r="GY154" s="7"/>
      <c r="GZ154" s="7"/>
      <c r="HA154" s="7"/>
      <c r="HB154" s="7"/>
      <c r="HC154" s="7"/>
      <c r="HD154" s="7"/>
      <c r="HE154" s="7"/>
      <c r="HF154" s="7"/>
      <c r="HG154" s="7"/>
      <c r="HH154" s="7"/>
      <c r="HI154" s="7"/>
      <c r="HJ154" s="7"/>
      <c r="HK154" s="7"/>
      <c r="HL154" s="7"/>
      <c r="HM154" s="7"/>
      <c r="HN154" s="7"/>
      <c r="HO154" s="7"/>
      <c r="HP154" s="7"/>
      <c r="HQ154" s="7"/>
      <c r="HR154" s="7"/>
      <c r="HS154" s="7"/>
      <c r="HT154" s="7"/>
      <c r="HU154" s="7"/>
      <c r="HV154" s="7"/>
      <c r="HW154" s="7"/>
      <c r="HX154" s="7"/>
      <c r="HY154" s="7"/>
    </row>
    <row r="155" spans="1:233">
      <c r="A155" s="56" t="s">
        <v>197</v>
      </c>
      <c r="B155" s="56" t="s">
        <v>198</v>
      </c>
      <c r="C155" s="56" t="s">
        <v>30</v>
      </c>
      <c r="D155" s="60">
        <v>-345863</v>
      </c>
      <c r="E155" s="63" t="s">
        <v>18</v>
      </c>
      <c r="F155" s="66" t="s">
        <v>0</v>
      </c>
      <c r="G155" s="58" t="s">
        <v>35</v>
      </c>
      <c r="H155" s="59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7"/>
      <c r="BV155" s="7"/>
      <c r="BW155" s="7"/>
      <c r="BX155" s="7"/>
      <c r="BY155" s="7"/>
      <c r="BZ155" s="7"/>
      <c r="CA155" s="7"/>
      <c r="CB155" s="7"/>
      <c r="CC155" s="7"/>
      <c r="CD155" s="7"/>
      <c r="CE155" s="7"/>
      <c r="CF155" s="7"/>
      <c r="CG155" s="7"/>
      <c r="CH155" s="7"/>
      <c r="CI155" s="7"/>
      <c r="CJ155" s="7"/>
      <c r="CK155" s="7"/>
      <c r="CL155" s="7"/>
      <c r="CM155" s="7"/>
      <c r="CN155" s="7"/>
      <c r="CO155" s="7"/>
      <c r="CP155" s="7"/>
      <c r="CQ155" s="7"/>
      <c r="CR155" s="7"/>
      <c r="CS155" s="7"/>
      <c r="CT155" s="7"/>
      <c r="CU155" s="7"/>
      <c r="CV155" s="7"/>
      <c r="CW155" s="7"/>
      <c r="CX155" s="7"/>
      <c r="CY155" s="7"/>
      <c r="CZ155" s="7"/>
      <c r="DA155" s="7"/>
      <c r="DB155" s="7"/>
      <c r="DC155" s="7"/>
      <c r="DD155" s="7"/>
      <c r="DE155" s="7"/>
      <c r="DF155" s="7"/>
      <c r="DG155" s="7"/>
      <c r="DH155" s="7"/>
      <c r="DI155" s="7"/>
      <c r="DJ155" s="7"/>
      <c r="DK155" s="7"/>
      <c r="DL155" s="7"/>
      <c r="DM155" s="7"/>
      <c r="DN155" s="7"/>
      <c r="DO155" s="7"/>
      <c r="DP155" s="7"/>
      <c r="DQ155" s="7"/>
      <c r="DR155" s="7"/>
      <c r="DS155" s="7"/>
      <c r="DT155" s="7"/>
      <c r="DU155" s="7"/>
      <c r="DV155" s="7"/>
      <c r="DW155" s="7"/>
      <c r="DX155" s="7"/>
      <c r="DY155" s="7"/>
      <c r="DZ155" s="7"/>
      <c r="EA155" s="7"/>
      <c r="EB155" s="7"/>
      <c r="EC155" s="7"/>
      <c r="ED155" s="7"/>
      <c r="EE155" s="7"/>
      <c r="EF155" s="7"/>
      <c r="EG155" s="7"/>
      <c r="EH155" s="7"/>
      <c r="EI155" s="7"/>
      <c r="EJ155" s="7"/>
      <c r="EK155" s="7"/>
      <c r="EL155" s="7"/>
      <c r="EM155" s="7"/>
      <c r="EN155" s="7"/>
      <c r="EO155" s="7"/>
      <c r="EP155" s="7"/>
      <c r="EQ155" s="7"/>
      <c r="ER155" s="7"/>
      <c r="ES155" s="7"/>
      <c r="ET155" s="7"/>
      <c r="EU155" s="7"/>
      <c r="EV155" s="7"/>
      <c r="EW155" s="7"/>
      <c r="EX155" s="7"/>
      <c r="EY155" s="7"/>
      <c r="EZ155" s="7"/>
      <c r="FA155" s="7"/>
      <c r="FB155" s="7"/>
      <c r="FC155" s="7"/>
      <c r="FD155" s="7"/>
      <c r="FE155" s="7"/>
      <c r="FF155" s="7"/>
      <c r="FG155" s="7"/>
      <c r="FH155" s="7"/>
      <c r="FI155" s="7"/>
      <c r="FJ155" s="7"/>
      <c r="FK155" s="7"/>
      <c r="FL155" s="7"/>
      <c r="FM155" s="7"/>
      <c r="FN155" s="7"/>
      <c r="FO155" s="7"/>
      <c r="FP155" s="7"/>
      <c r="FQ155" s="7"/>
      <c r="FR155" s="7"/>
      <c r="FS155" s="7"/>
      <c r="FT155" s="7"/>
      <c r="FU155" s="7"/>
      <c r="FV155" s="7"/>
      <c r="FW155" s="7"/>
      <c r="FX155" s="7"/>
      <c r="FY155" s="7"/>
      <c r="FZ155" s="7"/>
      <c r="GA155" s="7"/>
      <c r="GB155" s="7"/>
      <c r="GC155" s="7"/>
      <c r="GD155" s="7"/>
      <c r="GE155" s="7"/>
      <c r="GF155" s="7"/>
      <c r="GG155" s="7"/>
      <c r="GH155" s="7"/>
      <c r="GI155" s="7"/>
      <c r="GJ155" s="7"/>
      <c r="GK155" s="7"/>
      <c r="GL155" s="7"/>
      <c r="GM155" s="7"/>
      <c r="GN155" s="7"/>
      <c r="GO155" s="7"/>
      <c r="GP155" s="7"/>
      <c r="GQ155" s="7"/>
      <c r="GR155" s="7"/>
      <c r="GS155" s="7"/>
      <c r="GT155" s="7"/>
      <c r="GU155" s="7"/>
      <c r="GV155" s="7"/>
      <c r="GW155" s="7"/>
      <c r="GX155" s="7"/>
      <c r="GY155" s="7"/>
      <c r="GZ155" s="7"/>
      <c r="HA155" s="7"/>
      <c r="HB155" s="7"/>
      <c r="HC155" s="7"/>
      <c r="HD155" s="7"/>
      <c r="HE155" s="7"/>
      <c r="HF155" s="7"/>
      <c r="HG155" s="7"/>
      <c r="HH155" s="7"/>
      <c r="HI155" s="7"/>
      <c r="HJ155" s="7"/>
      <c r="HK155" s="7"/>
      <c r="HL155" s="7"/>
      <c r="HM155" s="7"/>
      <c r="HN155" s="7"/>
      <c r="HO155" s="7"/>
      <c r="HP155" s="7"/>
      <c r="HQ155" s="7"/>
      <c r="HR155" s="7"/>
      <c r="HS155" s="7"/>
      <c r="HT155" s="7"/>
      <c r="HU155" s="7"/>
      <c r="HV155" s="7"/>
      <c r="HW155" s="7"/>
      <c r="HX155" s="7"/>
      <c r="HY155" s="7"/>
    </row>
    <row r="156" spans="1:233">
      <c r="A156" s="56" t="s">
        <v>197</v>
      </c>
      <c r="B156" s="56" t="s">
        <v>198</v>
      </c>
      <c r="C156" s="56" t="s">
        <v>30</v>
      </c>
      <c r="D156" s="60">
        <v>503149.57</v>
      </c>
      <c r="E156" s="63" t="s">
        <v>18</v>
      </c>
      <c r="F156" s="66" t="s">
        <v>0</v>
      </c>
      <c r="G156" s="58" t="s">
        <v>35</v>
      </c>
      <c r="H156" s="59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7"/>
      <c r="BV156" s="7"/>
      <c r="BW156" s="7"/>
      <c r="BX156" s="7"/>
      <c r="BY156" s="7"/>
      <c r="BZ156" s="7"/>
      <c r="CA156" s="7"/>
      <c r="CB156" s="7"/>
      <c r="CC156" s="7"/>
      <c r="CD156" s="7"/>
      <c r="CE156" s="7"/>
      <c r="CF156" s="7"/>
      <c r="CG156" s="7"/>
      <c r="CH156" s="7"/>
      <c r="CI156" s="7"/>
      <c r="CJ156" s="7"/>
      <c r="CK156" s="7"/>
      <c r="CL156" s="7"/>
      <c r="CM156" s="7"/>
      <c r="CN156" s="7"/>
      <c r="CO156" s="7"/>
      <c r="CP156" s="7"/>
      <c r="CQ156" s="7"/>
      <c r="CR156" s="7"/>
      <c r="CS156" s="7"/>
      <c r="CT156" s="7"/>
      <c r="CU156" s="7"/>
      <c r="CV156" s="7"/>
      <c r="CW156" s="7"/>
      <c r="CX156" s="7"/>
      <c r="CY156" s="7"/>
      <c r="CZ156" s="7"/>
      <c r="DA156" s="7"/>
      <c r="DB156" s="7"/>
      <c r="DC156" s="7"/>
      <c r="DD156" s="7"/>
      <c r="DE156" s="7"/>
      <c r="DF156" s="7"/>
      <c r="DG156" s="7"/>
      <c r="DH156" s="7"/>
      <c r="DI156" s="7"/>
      <c r="DJ156" s="7"/>
      <c r="DK156" s="7"/>
      <c r="DL156" s="7"/>
      <c r="DM156" s="7"/>
      <c r="DN156" s="7"/>
      <c r="DO156" s="7"/>
      <c r="DP156" s="7"/>
      <c r="DQ156" s="7"/>
      <c r="DR156" s="7"/>
      <c r="DS156" s="7"/>
      <c r="DT156" s="7"/>
      <c r="DU156" s="7"/>
      <c r="DV156" s="7"/>
      <c r="DW156" s="7"/>
      <c r="DX156" s="7"/>
      <c r="DY156" s="7"/>
      <c r="DZ156" s="7"/>
      <c r="EA156" s="7"/>
      <c r="EB156" s="7"/>
      <c r="EC156" s="7"/>
      <c r="ED156" s="7"/>
      <c r="EE156" s="7"/>
      <c r="EF156" s="7"/>
      <c r="EG156" s="7"/>
      <c r="EH156" s="7"/>
      <c r="EI156" s="7"/>
      <c r="EJ156" s="7"/>
      <c r="EK156" s="7"/>
      <c r="EL156" s="7"/>
      <c r="EM156" s="7"/>
      <c r="EN156" s="7"/>
      <c r="EO156" s="7"/>
      <c r="EP156" s="7"/>
      <c r="EQ156" s="7"/>
      <c r="ER156" s="7"/>
      <c r="ES156" s="7"/>
      <c r="ET156" s="7"/>
      <c r="EU156" s="7"/>
      <c r="EV156" s="7"/>
      <c r="EW156" s="7"/>
      <c r="EX156" s="7"/>
      <c r="EY156" s="7"/>
      <c r="EZ156" s="7"/>
      <c r="FA156" s="7"/>
      <c r="FB156" s="7"/>
      <c r="FC156" s="7"/>
      <c r="FD156" s="7"/>
      <c r="FE156" s="7"/>
      <c r="FF156" s="7"/>
      <c r="FG156" s="7"/>
      <c r="FH156" s="7"/>
      <c r="FI156" s="7"/>
      <c r="FJ156" s="7"/>
      <c r="FK156" s="7"/>
      <c r="FL156" s="7"/>
      <c r="FM156" s="7"/>
      <c r="FN156" s="7"/>
      <c r="FO156" s="7"/>
      <c r="FP156" s="7"/>
      <c r="FQ156" s="7"/>
      <c r="FR156" s="7"/>
      <c r="FS156" s="7"/>
      <c r="FT156" s="7"/>
      <c r="FU156" s="7"/>
      <c r="FV156" s="7"/>
      <c r="FW156" s="7"/>
      <c r="FX156" s="7"/>
      <c r="FY156" s="7"/>
      <c r="FZ156" s="7"/>
      <c r="GA156" s="7"/>
      <c r="GB156" s="7"/>
      <c r="GC156" s="7"/>
      <c r="GD156" s="7"/>
      <c r="GE156" s="7"/>
      <c r="GF156" s="7"/>
      <c r="GG156" s="7"/>
      <c r="GH156" s="7"/>
      <c r="GI156" s="7"/>
      <c r="GJ156" s="7"/>
      <c r="GK156" s="7"/>
      <c r="GL156" s="7"/>
      <c r="GM156" s="7"/>
      <c r="GN156" s="7"/>
      <c r="GO156" s="7"/>
      <c r="GP156" s="7"/>
      <c r="GQ156" s="7"/>
      <c r="GR156" s="7"/>
      <c r="GS156" s="7"/>
      <c r="GT156" s="7"/>
      <c r="GU156" s="7"/>
      <c r="GV156" s="7"/>
      <c r="GW156" s="7"/>
      <c r="GX156" s="7"/>
      <c r="GY156" s="7"/>
      <c r="GZ156" s="7"/>
      <c r="HA156" s="7"/>
      <c r="HB156" s="7"/>
      <c r="HC156" s="7"/>
      <c r="HD156" s="7"/>
      <c r="HE156" s="7"/>
      <c r="HF156" s="7"/>
      <c r="HG156" s="7"/>
      <c r="HH156" s="7"/>
      <c r="HI156" s="7"/>
      <c r="HJ156" s="7"/>
      <c r="HK156" s="7"/>
      <c r="HL156" s="7"/>
      <c r="HM156" s="7"/>
      <c r="HN156" s="7"/>
      <c r="HO156" s="7"/>
      <c r="HP156" s="7"/>
      <c r="HQ156" s="7"/>
      <c r="HR156" s="7"/>
      <c r="HS156" s="7"/>
      <c r="HT156" s="7"/>
      <c r="HU156" s="7"/>
      <c r="HV156" s="7"/>
      <c r="HW156" s="7"/>
      <c r="HX156" s="7"/>
      <c r="HY156" s="7"/>
    </row>
    <row r="157" spans="1:233">
      <c r="A157" s="57"/>
      <c r="B157" s="57"/>
      <c r="C157" s="57"/>
      <c r="G157" s="57"/>
      <c r="H157" s="57"/>
    </row>
    <row r="158" spans="1:233">
      <c r="A158" s="57"/>
      <c r="B158" s="57"/>
      <c r="C158" s="57"/>
      <c r="D158" s="62">
        <f>SUBTOTAL(9,D2:D157)</f>
        <v>61850741.5</v>
      </c>
      <c r="G158" s="57"/>
      <c r="H158" s="57"/>
    </row>
    <row r="161" spans="4:4">
      <c r="D161" s="71">
        <f>D5+D129</f>
        <v>831936.88</v>
      </c>
    </row>
  </sheetData>
  <autoFilter ref="A1:G1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1">
    <tabColor rgb="FFFFC000"/>
  </sheetPr>
  <dimension ref="A1:K23"/>
  <sheetViews>
    <sheetView topLeftCell="B1" workbookViewId="0">
      <selection activeCell="D6" sqref="D6"/>
    </sheetView>
  </sheetViews>
  <sheetFormatPr baseColWidth="10" defaultColWidth="8.83203125" defaultRowHeight="15"/>
  <cols>
    <col min="1" max="1" width="0" hidden="1" customWidth="1"/>
    <col min="2" max="2" width="24.33203125" customWidth="1"/>
    <col min="3" max="3" width="44.5" customWidth="1"/>
    <col min="4" max="6" width="16.33203125" customWidth="1"/>
    <col min="7" max="7" width="18.6640625" customWidth="1"/>
    <col min="8" max="8" width="17.5" customWidth="1"/>
    <col min="11" max="11" width="12.5" bestFit="1" customWidth="1"/>
  </cols>
  <sheetData>
    <row r="1" spans="1:11">
      <c r="A1" s="106"/>
      <c r="B1" s="112" t="s">
        <v>233</v>
      </c>
      <c r="C1" s="110" t="s">
        <v>17</v>
      </c>
      <c r="D1" s="108" t="s">
        <v>18</v>
      </c>
      <c r="E1" s="108"/>
      <c r="F1" s="109" t="s">
        <v>19</v>
      </c>
      <c r="G1" s="109"/>
      <c r="H1" s="109"/>
    </row>
    <row r="2" spans="1:11">
      <c r="A2" s="107"/>
      <c r="B2" s="113"/>
      <c r="C2" s="111"/>
      <c r="D2" s="49" t="s">
        <v>18</v>
      </c>
      <c r="E2" s="50" t="s">
        <v>20</v>
      </c>
      <c r="F2" s="51" t="s">
        <v>19</v>
      </c>
      <c r="G2" s="51" t="s">
        <v>21</v>
      </c>
      <c r="H2" s="51" t="s">
        <v>22</v>
      </c>
    </row>
    <row r="3" spans="1:11" s="48" customFormat="1">
      <c r="A3" s="47">
        <f>COLUMN()</f>
        <v>1</v>
      </c>
      <c r="B3" s="53">
        <f>COLUMN()</f>
        <v>2</v>
      </c>
      <c r="C3" s="53">
        <f>COLUMN()</f>
        <v>3</v>
      </c>
      <c r="D3" s="53">
        <f>COLUMN()</f>
        <v>4</v>
      </c>
      <c r="E3" s="53">
        <f>COLUMN()</f>
        <v>5</v>
      </c>
      <c r="F3" s="53">
        <f>COLUMN()</f>
        <v>6</v>
      </c>
      <c r="G3" s="53">
        <f>COLUMN()</f>
        <v>7</v>
      </c>
      <c r="H3" s="53">
        <f>COLUMN()</f>
        <v>8</v>
      </c>
    </row>
    <row r="4" spans="1:11">
      <c r="A4" s="1"/>
      <c r="B4" s="1"/>
      <c r="C4" s="3" t="s">
        <v>23</v>
      </c>
      <c r="D4" s="55">
        <f>SUM(D5:D20)</f>
        <v>0</v>
      </c>
      <c r="E4" s="55">
        <f t="shared" ref="E4:H4" si="0">SUM(E5:E20)</f>
        <v>0</v>
      </c>
      <c r="F4" s="55">
        <f t="shared" si="0"/>
        <v>0</v>
      </c>
      <c r="G4" s="55">
        <f t="shared" si="0"/>
        <v>0</v>
      </c>
      <c r="H4" s="55">
        <f t="shared" si="0"/>
        <v>0</v>
      </c>
    </row>
    <row r="5" spans="1:11">
      <c r="A5" s="1">
        <v>3303002</v>
      </c>
      <c r="B5" s="1" t="s">
        <v>1</v>
      </c>
      <c r="C5" s="2" t="s">
        <v>217</v>
      </c>
      <c r="D5" s="70"/>
      <c r="E5" s="70"/>
      <c r="F5" s="70"/>
      <c r="G5" s="70"/>
      <c r="H5" s="70"/>
    </row>
    <row r="6" spans="1:11">
      <c r="A6" s="1">
        <v>3303003</v>
      </c>
      <c r="B6" s="1" t="s">
        <v>2</v>
      </c>
      <c r="C6" s="2" t="s">
        <v>218</v>
      </c>
      <c r="D6" s="70"/>
      <c r="E6" s="70"/>
      <c r="F6" s="70"/>
      <c r="G6" s="70"/>
      <c r="H6" s="70"/>
    </row>
    <row r="7" spans="1:11">
      <c r="A7" s="1">
        <v>3303004</v>
      </c>
      <c r="B7" s="1" t="s">
        <v>3</v>
      </c>
      <c r="C7" s="2" t="s">
        <v>219</v>
      </c>
      <c r="D7" s="70"/>
      <c r="E7" s="70"/>
      <c r="F7" s="70"/>
      <c r="G7" s="70"/>
      <c r="H7" s="70"/>
    </row>
    <row r="8" spans="1:11">
      <c r="A8" s="1">
        <v>3303005</v>
      </c>
      <c r="B8" s="1" t="s">
        <v>4</v>
      </c>
      <c r="C8" s="2" t="s">
        <v>220</v>
      </c>
      <c r="D8" s="70"/>
      <c r="E8" s="70"/>
      <c r="F8" s="70"/>
      <c r="G8" s="70"/>
      <c r="H8" s="70"/>
      <c r="K8" s="8"/>
    </row>
    <row r="9" spans="1:11">
      <c r="A9" s="1">
        <v>3303006</v>
      </c>
      <c r="B9" s="1" t="s">
        <v>5</v>
      </c>
      <c r="C9" s="2" t="s">
        <v>221</v>
      </c>
      <c r="D9" s="70"/>
      <c r="E9" s="70"/>
      <c r="F9" s="70"/>
      <c r="G9" s="70"/>
      <c r="H9" s="70"/>
    </row>
    <row r="10" spans="1:11">
      <c r="A10" s="1">
        <v>3303007</v>
      </c>
      <c r="B10" s="1" t="s">
        <v>6</v>
      </c>
      <c r="C10" s="2" t="s">
        <v>222</v>
      </c>
      <c r="D10" s="70"/>
      <c r="E10" s="70"/>
      <c r="F10" s="70"/>
      <c r="G10" s="70"/>
      <c r="H10" s="70"/>
    </row>
    <row r="11" spans="1:11">
      <c r="A11" s="1">
        <v>3303008</v>
      </c>
      <c r="B11" s="1" t="s">
        <v>7</v>
      </c>
      <c r="C11" s="2" t="s">
        <v>223</v>
      </c>
      <c r="D11" s="70"/>
      <c r="E11" s="70"/>
      <c r="F11" s="70"/>
      <c r="G11" s="70"/>
      <c r="H11" s="70"/>
    </row>
    <row r="12" spans="1:11">
      <c r="A12" s="1">
        <v>3303009</v>
      </c>
      <c r="B12" s="1" t="s">
        <v>8</v>
      </c>
      <c r="C12" s="2" t="s">
        <v>224</v>
      </c>
      <c r="D12" s="70"/>
      <c r="E12" s="70"/>
      <c r="F12" s="70"/>
      <c r="G12" s="70"/>
      <c r="H12" s="70"/>
    </row>
    <row r="13" spans="1:11">
      <c r="A13" s="1">
        <v>3303010</v>
      </c>
      <c r="B13" s="1" t="s">
        <v>9</v>
      </c>
      <c r="C13" s="2" t="s">
        <v>225</v>
      </c>
      <c r="D13" s="70"/>
      <c r="E13" s="70"/>
      <c r="F13" s="70"/>
      <c r="G13" s="70"/>
      <c r="H13" s="70"/>
    </row>
    <row r="14" spans="1:11">
      <c r="A14" s="1">
        <v>3303011</v>
      </c>
      <c r="B14" s="1" t="s">
        <v>10</v>
      </c>
      <c r="C14" s="2" t="s">
        <v>226</v>
      </c>
      <c r="D14" s="70"/>
      <c r="E14" s="70"/>
      <c r="F14" s="70"/>
      <c r="G14" s="70"/>
      <c r="H14" s="70"/>
    </row>
    <row r="15" spans="1:11">
      <c r="A15" s="1">
        <v>3303012</v>
      </c>
      <c r="B15" s="1" t="s">
        <v>11</v>
      </c>
      <c r="C15" s="2" t="s">
        <v>227</v>
      </c>
      <c r="D15" s="70"/>
      <c r="E15" s="70"/>
      <c r="F15" s="70"/>
      <c r="G15" s="70"/>
      <c r="H15" s="70"/>
    </row>
    <row r="16" spans="1:11">
      <c r="A16" s="1">
        <v>3303014</v>
      </c>
      <c r="B16" s="1" t="s">
        <v>12</v>
      </c>
      <c r="C16" s="2" t="s">
        <v>228</v>
      </c>
      <c r="D16" s="70"/>
      <c r="E16" s="70"/>
      <c r="F16" s="70"/>
      <c r="G16" s="70"/>
      <c r="H16" s="70"/>
    </row>
    <row r="17" spans="1:8">
      <c r="A17" s="1">
        <v>3303015</v>
      </c>
      <c r="B17" s="1" t="s">
        <v>13</v>
      </c>
      <c r="C17" s="2" t="s">
        <v>229</v>
      </c>
      <c r="D17" s="70"/>
      <c r="E17" s="70"/>
      <c r="F17" s="70"/>
      <c r="G17" s="70"/>
      <c r="H17" s="70"/>
    </row>
    <row r="18" spans="1:8">
      <c r="A18" s="1">
        <v>3303017</v>
      </c>
      <c r="B18" s="1" t="s">
        <v>14</v>
      </c>
      <c r="C18" s="2" t="s">
        <v>230</v>
      </c>
      <c r="D18" s="70"/>
      <c r="E18" s="70"/>
      <c r="F18" s="70"/>
      <c r="G18" s="70"/>
      <c r="H18" s="70"/>
    </row>
    <row r="19" spans="1:8">
      <c r="A19" s="1">
        <v>3303020</v>
      </c>
      <c r="B19" s="1" t="s">
        <v>15</v>
      </c>
      <c r="C19" s="2" t="s">
        <v>231</v>
      </c>
      <c r="D19" s="70"/>
      <c r="E19" s="70"/>
      <c r="F19" s="70"/>
      <c r="G19" s="70"/>
      <c r="H19" s="70"/>
    </row>
    <row r="20" spans="1:8">
      <c r="A20" s="1">
        <v>3303021</v>
      </c>
      <c r="B20" s="1" t="s">
        <v>16</v>
      </c>
      <c r="C20" s="2" t="s">
        <v>232</v>
      </c>
      <c r="D20" s="70"/>
      <c r="E20" s="70"/>
      <c r="F20" s="70"/>
      <c r="G20" s="70"/>
      <c r="H20" s="70"/>
    </row>
    <row r="21" spans="1:8">
      <c r="F21" s="70"/>
    </row>
    <row r="23" spans="1:8">
      <c r="B23" s="73" t="s">
        <v>238</v>
      </c>
      <c r="C23" s="64"/>
    </row>
  </sheetData>
  <mergeCells count="5">
    <mergeCell ref="A1:A2"/>
    <mergeCell ref="D1:E1"/>
    <mergeCell ref="F1:H1"/>
    <mergeCell ref="C1:C2"/>
    <mergeCell ref="B1:B2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rgb="FFFFC000"/>
  </sheetPr>
  <dimension ref="A1:G22"/>
  <sheetViews>
    <sheetView workbookViewId="0">
      <selection activeCell="A33" sqref="A33"/>
    </sheetView>
  </sheetViews>
  <sheetFormatPr baseColWidth="10" defaultColWidth="8.83203125" defaultRowHeight="15"/>
  <cols>
    <col min="1" max="1" width="37.6640625" customWidth="1"/>
    <col min="2" max="3" width="14.83203125" customWidth="1"/>
    <col min="4" max="4" width="12.5" customWidth="1"/>
    <col min="5" max="5" width="19.5" customWidth="1"/>
    <col min="6" max="6" width="15" bestFit="1" customWidth="1"/>
    <col min="7" max="7" width="12" customWidth="1"/>
  </cols>
  <sheetData>
    <row r="1" spans="1:7">
      <c r="A1" s="64" t="s">
        <v>239</v>
      </c>
      <c r="B1" s="64"/>
      <c r="C1" s="64"/>
      <c r="D1" s="64"/>
      <c r="E1" s="64"/>
      <c r="F1" s="64"/>
      <c r="G1" s="64"/>
    </row>
    <row r="3" spans="1:7">
      <c r="A3" s="36" t="s">
        <v>237</v>
      </c>
      <c r="B3" s="36" t="s">
        <v>25</v>
      </c>
      <c r="C3" s="10"/>
      <c r="D3" s="11"/>
    </row>
    <row r="4" spans="1:7">
      <c r="A4" s="45" t="s">
        <v>233</v>
      </c>
      <c r="B4" s="68" t="s">
        <v>18</v>
      </c>
      <c r="C4" s="69" t="s">
        <v>19</v>
      </c>
      <c r="D4" s="46" t="s">
        <v>216</v>
      </c>
    </row>
    <row r="5" spans="1:7">
      <c r="A5" s="9" t="s">
        <v>0</v>
      </c>
      <c r="B5" s="39">
        <f>SUMIFS('Тест1 Данные'!$D$2:$D$156,'Тест1 Данные'!$F$2:$F$156,A5,'Тест1 Данные'!$E$2:$E$156,$B$4)</f>
        <v>-636970.5</v>
      </c>
      <c r="C5" s="39">
        <f>SUMIFS('Тест1 Данные'!$D$2:$D$156,'Тест1 Данные'!$F$2:$F$156,A5,'Тест1 Данные'!$E$2:$E$156,$C$4)</f>
        <v>204900.91</v>
      </c>
      <c r="D5" s="40">
        <v>-432069.58999999997</v>
      </c>
      <c r="F5" s="72"/>
      <c r="G5" s="72"/>
    </row>
    <row r="6" spans="1:7">
      <c r="A6" s="37" t="s">
        <v>9</v>
      </c>
      <c r="B6" s="39">
        <f>SUMIFS('Тест1 Данные'!$D$2:$D$156,'Тест1 Данные'!$F$2:$F$156,A6,'Тест1 Данные'!$E$2:$E$156,$B$4)</f>
        <v>76944.11</v>
      </c>
      <c r="C6" s="39">
        <f>SUMIFS('Тест1 Данные'!$D$2:$D$156,'Тест1 Данные'!$F$2:$F$156,A6,'Тест1 Данные'!$E$2:$E$156,$C$4)</f>
        <v>4057419.65</v>
      </c>
      <c r="D6" s="41">
        <v>4134363.7600000002</v>
      </c>
      <c r="F6" s="72"/>
      <c r="G6" s="72"/>
    </row>
    <row r="7" spans="1:7">
      <c r="A7" s="37" t="s">
        <v>10</v>
      </c>
      <c r="B7" s="39">
        <f>SUMIFS('Тест1 Данные'!$D$2:$D$156,'Тест1 Данные'!$F$2:$F$156,A7,'Тест1 Данные'!$E$2:$E$156,$B$4)</f>
        <v>0</v>
      </c>
      <c r="C7" s="39">
        <f>SUMIFS('Тест1 Данные'!$D$2:$D$156,'Тест1 Данные'!$F$2:$F$156,A7,'Тест1 Данные'!$E$2:$E$156,$C$4)</f>
        <v>0</v>
      </c>
      <c r="D7" s="41">
        <v>0</v>
      </c>
      <c r="F7" s="72"/>
      <c r="G7" s="72"/>
    </row>
    <row r="8" spans="1:7">
      <c r="A8" s="37" t="s">
        <v>11</v>
      </c>
      <c r="B8" s="39">
        <f>SUMIFS('Тест1 Данные'!$D$2:$D$156,'Тест1 Данные'!$F$2:$F$156,A8,'Тест1 Данные'!$E$2:$E$156,$B$4)</f>
        <v>58188.73</v>
      </c>
      <c r="C8" s="39">
        <f>SUMIFS('Тест1 Данные'!$D$2:$D$156,'Тест1 Данные'!$F$2:$F$156,A8,'Тест1 Данные'!$E$2:$E$156,$C$4)</f>
        <v>924250.72</v>
      </c>
      <c r="D8" s="41">
        <v>982439.45</v>
      </c>
      <c r="F8" s="72"/>
      <c r="G8" s="72"/>
    </row>
    <row r="9" spans="1:7">
      <c r="A9" s="37" t="s">
        <v>12</v>
      </c>
      <c r="B9" s="39">
        <f>SUMIFS('Тест1 Данные'!$D$2:$D$156,'Тест1 Данные'!$F$2:$F$156,A9,'Тест1 Данные'!$E$2:$E$156,$B$4)</f>
        <v>19888</v>
      </c>
      <c r="C9" s="39">
        <f>SUMIFS('Тест1 Данные'!$D$2:$D$156,'Тест1 Данные'!$F$2:$F$156,A9,'Тест1 Данные'!$E$2:$E$156,$C$4)</f>
        <v>0</v>
      </c>
      <c r="D9" s="41">
        <v>19888</v>
      </c>
      <c r="F9" s="72"/>
      <c r="G9" s="72"/>
    </row>
    <row r="10" spans="1:7">
      <c r="A10" s="37" t="s">
        <v>13</v>
      </c>
      <c r="B10" s="39">
        <f>SUMIFS('Тест1 Данные'!$D$2:$D$156,'Тест1 Данные'!$F$2:$F$156,A10,'Тест1 Данные'!$E$2:$E$156,$B$4)</f>
        <v>0</v>
      </c>
      <c r="C10" s="39">
        <f>SUMIFS('Тест1 Данные'!$D$2:$D$156,'Тест1 Данные'!$F$2:$F$156,A10,'Тест1 Данные'!$E$2:$E$156,$C$4)</f>
        <v>1613773.55</v>
      </c>
      <c r="D10" s="41">
        <v>1613773.55</v>
      </c>
      <c r="F10" s="72"/>
      <c r="G10" s="72"/>
    </row>
    <row r="11" spans="1:7">
      <c r="A11" s="37" t="s">
        <v>57</v>
      </c>
      <c r="B11" s="39">
        <f>SUMIFS('Тест1 Данные'!$D$2:$D$156,'Тест1 Данные'!$F$2:$F$156,A11,'Тест1 Данные'!$E$2:$E$156,$B$4)</f>
        <v>88999.05</v>
      </c>
      <c r="C11" s="39">
        <f>SUMIFS('Тест1 Данные'!$D$2:$D$156,'Тест1 Данные'!$F$2:$F$156,A11,'Тест1 Данные'!$E$2:$E$156,$C$4)</f>
        <v>551504.5</v>
      </c>
      <c r="D11" s="41">
        <v>640503.55000000005</v>
      </c>
      <c r="F11" s="72"/>
      <c r="G11" s="72"/>
    </row>
    <row r="12" spans="1:7">
      <c r="A12" s="37" t="s">
        <v>14</v>
      </c>
      <c r="B12" s="39">
        <f>SUMIFS('Тест1 Данные'!$D$2:$D$156,'Тест1 Данные'!$F$2:$F$156,A12,'Тест1 Данные'!$E$2:$E$156,$B$4)</f>
        <v>396770.4</v>
      </c>
      <c r="C12" s="39">
        <f>SUMIFS('Тест1 Данные'!$D$2:$D$156,'Тест1 Данные'!$F$2:$F$156,A12,'Тест1 Данные'!$E$2:$E$156,$C$4)</f>
        <v>5554066.5999999996</v>
      </c>
      <c r="D12" s="41">
        <v>5950837.0000000009</v>
      </c>
      <c r="F12" s="72"/>
      <c r="G12" s="72"/>
    </row>
    <row r="13" spans="1:7">
      <c r="A13" s="37" t="s">
        <v>93</v>
      </c>
      <c r="B13" s="39">
        <f>SUMIFS('Тест1 Данные'!$D$2:$D$156,'Тест1 Данные'!$F$2:$F$156,A13,'Тест1 Данные'!$E$2:$E$156,$B$4)</f>
        <v>157142.08000000002</v>
      </c>
      <c r="C13" s="39">
        <f>SUMIFS('Тест1 Данные'!$D$2:$D$156,'Тест1 Данные'!$F$2:$F$156,A13,'Тест1 Данные'!$E$2:$E$156,$C$4)</f>
        <v>16642310.9</v>
      </c>
      <c r="D13" s="41">
        <v>16799452.979999997</v>
      </c>
      <c r="F13" s="72"/>
      <c r="G13" s="72"/>
    </row>
    <row r="14" spans="1:7">
      <c r="A14" s="37" t="s">
        <v>1</v>
      </c>
      <c r="B14" s="39">
        <f>SUMIFS('Тест1 Данные'!$D$2:$D$156,'Тест1 Данные'!$F$2:$F$156,A14,'Тест1 Данные'!$E$2:$E$156,$B$4)</f>
        <v>831936.88</v>
      </c>
      <c r="C14" s="39">
        <f>SUMIFS('Тест1 Данные'!$D$2:$D$156,'Тест1 Данные'!$F$2:$F$156,A14,'Тест1 Данные'!$E$2:$E$156,$C$4)</f>
        <v>253276</v>
      </c>
      <c r="D14" s="41">
        <v>1085212.8799999999</v>
      </c>
      <c r="F14" s="72"/>
      <c r="G14" s="72"/>
    </row>
    <row r="15" spans="1:7">
      <c r="A15" s="37" t="s">
        <v>16</v>
      </c>
      <c r="B15" s="39">
        <f>SUMIFS('Тест1 Данные'!$D$2:$D$156,'Тест1 Данные'!$F$2:$F$156,A15,'Тест1 Данные'!$E$2:$E$156,$B$4)</f>
        <v>90851</v>
      </c>
      <c r="C15" s="39">
        <f>SUMIFS('Тест1 Данные'!$D$2:$D$156,'Тест1 Данные'!$F$2:$F$156,A15,'Тест1 Данные'!$E$2:$E$156,$C$4)</f>
        <v>9433610.4399999995</v>
      </c>
      <c r="D15" s="41">
        <v>9524461.4400000013</v>
      </c>
      <c r="F15" s="72"/>
      <c r="G15" s="72"/>
    </row>
    <row r="16" spans="1:7">
      <c r="A16" s="37" t="s">
        <v>84</v>
      </c>
      <c r="B16" s="39">
        <f>SUMIFS('Тест1 Данные'!$D$2:$D$156,'Тест1 Данные'!$F$2:$F$156,A16,'Тест1 Данные'!$E$2:$E$156,$B$4)</f>
        <v>202464.41</v>
      </c>
      <c r="C16" s="39">
        <f>SUMIFS('Тест1 Данные'!$D$2:$D$156,'Тест1 Данные'!$F$2:$F$156,A16,'Тест1 Данные'!$E$2:$E$156,$C$4)</f>
        <v>6618750.2699999996</v>
      </c>
      <c r="D16" s="41">
        <v>6821214.6799999997</v>
      </c>
      <c r="F16" s="72"/>
      <c r="G16" s="72"/>
    </row>
    <row r="17" spans="1:7">
      <c r="A17" s="37" t="s">
        <v>2</v>
      </c>
      <c r="B17" s="39">
        <f>SUMIFS('Тест1 Данные'!$D$2:$D$156,'Тест1 Данные'!$F$2:$F$156,A17,'Тест1 Данные'!$E$2:$E$156,$B$4)</f>
        <v>-2478.5700000000002</v>
      </c>
      <c r="C17" s="39">
        <f>SUMIFS('Тест1 Данные'!$D$2:$D$156,'Тест1 Данные'!$F$2:$F$156,A17,'Тест1 Данные'!$E$2:$E$156,$C$4)</f>
        <v>0</v>
      </c>
      <c r="D17" s="41">
        <v>-2478.5700000000002</v>
      </c>
      <c r="F17" s="72"/>
      <c r="G17" s="72"/>
    </row>
    <row r="18" spans="1:7">
      <c r="A18" s="37" t="s">
        <v>5</v>
      </c>
      <c r="B18" s="39">
        <f>SUMIFS('Тест1 Данные'!$D$2:$D$156,'Тест1 Данные'!$F$2:$F$156,A18,'Тест1 Данные'!$E$2:$E$156,$B$4)</f>
        <v>47478.57</v>
      </c>
      <c r="C18" s="39">
        <f>SUMIFS('Тест1 Данные'!$D$2:$D$156,'Тест1 Данные'!$F$2:$F$156,A18,'Тест1 Данные'!$E$2:$E$156,$C$4)</f>
        <v>-523873</v>
      </c>
      <c r="D18" s="41">
        <v>-476394.43</v>
      </c>
      <c r="F18" s="72"/>
      <c r="G18" s="72"/>
    </row>
    <row r="19" spans="1:7">
      <c r="A19" s="37" t="s">
        <v>6</v>
      </c>
      <c r="B19" s="39">
        <f>SUMIFS('Тест1 Данные'!$D$2:$D$156,'Тест1 Данные'!$F$2:$F$156,A19,'Тест1 Данные'!$E$2:$E$156,$B$4)</f>
        <v>122397.02</v>
      </c>
      <c r="C19" s="39">
        <f>SUMIFS('Тест1 Данные'!$D$2:$D$156,'Тест1 Данные'!$F$2:$F$156,A19,'Тест1 Данные'!$E$2:$E$156,$C$4)</f>
        <v>3993857.48</v>
      </c>
      <c r="D19" s="41">
        <v>4116254.5000000005</v>
      </c>
      <c r="F19" s="72"/>
      <c r="G19" s="72"/>
    </row>
    <row r="20" spans="1:7">
      <c r="A20" s="37" t="s">
        <v>7</v>
      </c>
      <c r="B20" s="39">
        <f>SUMIFS('Тест1 Данные'!$D$2:$D$156,'Тест1 Данные'!$F$2:$F$156,A20,'Тест1 Данные'!$E$2:$E$156,$B$4)</f>
        <v>0</v>
      </c>
      <c r="C20" s="39">
        <f>SUMIFS('Тест1 Данные'!$D$2:$D$156,'Тест1 Данные'!$F$2:$F$156,A20,'Тест1 Данные'!$E$2:$E$156,$C$4)</f>
        <v>1141780.74</v>
      </c>
      <c r="D20" s="41">
        <v>1141780.74</v>
      </c>
      <c r="F20" s="72"/>
      <c r="G20" s="72"/>
    </row>
    <row r="21" spans="1:7">
      <c r="A21" s="37" t="s">
        <v>8</v>
      </c>
      <c r="B21" s="39">
        <f>SUMIFS('Тест1 Данные'!$D$2:$D$156,'Тест1 Данные'!$F$2:$F$156,A21,'Тест1 Данные'!$E$2:$E$156,$B$4)</f>
        <v>0</v>
      </c>
      <c r="C21" s="39">
        <f>SUMIFS('Тест1 Данные'!$D$2:$D$156,'Тест1 Данные'!$F$2:$F$156,A21,'Тест1 Данные'!$E$2:$E$156,$C$4)</f>
        <v>3919.53</v>
      </c>
      <c r="D21" s="41">
        <v>3919.53</v>
      </c>
      <c r="F21" s="72"/>
      <c r="G21" s="72"/>
    </row>
    <row r="22" spans="1:7">
      <c r="A22" s="38" t="s">
        <v>216</v>
      </c>
      <c r="B22" s="42">
        <v>1453611.18</v>
      </c>
      <c r="C22" s="43">
        <v>50469548.289999999</v>
      </c>
      <c r="D22" s="44">
        <v>51923159.469999999</v>
      </c>
      <c r="F22" s="72"/>
      <c r="G22" s="7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6">
    <tabColor rgb="FFFFC000"/>
  </sheetPr>
  <dimension ref="A1:V30"/>
  <sheetViews>
    <sheetView topLeftCell="B1" workbookViewId="0">
      <selection activeCell="B2" sqref="B2:T7"/>
    </sheetView>
  </sheetViews>
  <sheetFormatPr baseColWidth="10" defaultColWidth="8.83203125" defaultRowHeight="15"/>
  <sheetData>
    <row r="1" spans="1:22" ht="16" thickBot="1">
      <c r="B1" s="114" t="s">
        <v>215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</row>
    <row r="2" spans="1:22" ht="16" thickBot="1">
      <c r="B2" s="12"/>
      <c r="C2" s="115" t="s">
        <v>199</v>
      </c>
      <c r="D2" s="116"/>
      <c r="E2" s="117"/>
      <c r="F2" s="115" t="s">
        <v>200</v>
      </c>
      <c r="G2" s="116"/>
      <c r="H2" s="117"/>
      <c r="I2" s="118" t="s">
        <v>201</v>
      </c>
      <c r="J2" s="119"/>
      <c r="K2" s="120"/>
      <c r="L2" s="118" t="s">
        <v>202</v>
      </c>
      <c r="M2" s="119"/>
      <c r="N2" s="120"/>
      <c r="O2" s="118" t="s">
        <v>203</v>
      </c>
      <c r="P2" s="119"/>
      <c r="Q2" s="120"/>
      <c r="R2" s="118" t="s">
        <v>204</v>
      </c>
      <c r="S2" s="119"/>
      <c r="T2" s="13"/>
    </row>
    <row r="3" spans="1:22" ht="49" thickBot="1">
      <c r="A3" s="14"/>
      <c r="B3" s="15"/>
      <c r="C3" s="16" t="s">
        <v>205</v>
      </c>
      <c r="D3" s="17" t="s">
        <v>206</v>
      </c>
      <c r="E3" s="18"/>
      <c r="F3" s="16" t="s">
        <v>205</v>
      </c>
      <c r="G3" s="17" t="s">
        <v>207</v>
      </c>
      <c r="H3" s="18"/>
      <c r="I3" s="16" t="s">
        <v>205</v>
      </c>
      <c r="J3" s="17" t="str">
        <f>G3</f>
        <v>БП13-17 от 13.08.12</v>
      </c>
      <c r="K3" s="18"/>
      <c r="L3" s="16" t="s">
        <v>205</v>
      </c>
      <c r="M3" s="17" t="str">
        <f>G3</f>
        <v>БП13-17 от 13.08.12</v>
      </c>
      <c r="N3" s="18"/>
      <c r="O3" s="16" t="s">
        <v>205</v>
      </c>
      <c r="P3" s="17" t="str">
        <f>G3</f>
        <v>БП13-17 от 13.08.12</v>
      </c>
      <c r="Q3" s="18"/>
      <c r="R3" s="16" t="s">
        <v>205</v>
      </c>
      <c r="S3" s="17" t="str">
        <f>G3</f>
        <v>БП13-17 от 13.08.12</v>
      </c>
      <c r="T3" s="18"/>
      <c r="U3" s="14"/>
      <c r="V3" s="14">
        <v>1000</v>
      </c>
    </row>
    <row r="4" spans="1:22">
      <c r="B4" s="19" t="s">
        <v>208</v>
      </c>
      <c r="C4" s="20">
        <f>SUM(C5:C7)</f>
        <v>119.836425518319</v>
      </c>
      <c r="D4" s="21">
        <f>SUM(D5:D7)</f>
        <v>110.55481985898952</v>
      </c>
      <c r="E4" s="22"/>
      <c r="F4" s="20">
        <f>SUM(F5:F7)</f>
        <v>114.45985583275366</v>
      </c>
      <c r="G4" s="21">
        <f>SUM(G5:G7)</f>
        <v>82.273657493387731</v>
      </c>
      <c r="H4" s="22"/>
      <c r="I4" s="20">
        <f>SUM(I5:I7)</f>
        <v>88.582413277009337</v>
      </c>
      <c r="J4" s="21">
        <f>SUM(J5:J7)</f>
        <v>61.214663476329399</v>
      </c>
      <c r="K4" s="22"/>
      <c r="L4" s="20">
        <f>SUM(L5:L7)</f>
        <v>59.137998423328284</v>
      </c>
      <c r="M4" s="21">
        <f>SUM(M5:M7)</f>
        <v>34.301605501843881</v>
      </c>
      <c r="N4" s="22"/>
      <c r="O4" s="20">
        <f>SUM(O5:O7)</f>
        <v>25.133115231577971</v>
      </c>
      <c r="P4" s="21">
        <f>SUM(P5:P7)</f>
        <v>26.875120146901185</v>
      </c>
      <c r="Q4" s="22"/>
      <c r="R4" s="20">
        <f>SUM(R5:R7)</f>
        <v>4.1968513693439755</v>
      </c>
      <c r="S4" s="21">
        <f>SUM(S5:S7)</f>
        <v>11.518430271521909</v>
      </c>
      <c r="T4" s="23"/>
    </row>
    <row r="5" spans="1:22">
      <c r="A5" t="s">
        <v>209</v>
      </c>
      <c r="B5" s="24" t="s">
        <v>210</v>
      </c>
      <c r="C5" s="25">
        <v>25.576977534470071</v>
      </c>
      <c r="D5" s="26">
        <v>23.645598906195907</v>
      </c>
      <c r="E5" s="27"/>
      <c r="F5" s="25">
        <v>23.646342706458494</v>
      </c>
      <c r="G5" s="26">
        <v>22.56003589456051</v>
      </c>
      <c r="H5" s="27"/>
      <c r="I5" s="25">
        <v>17.024941392987461</v>
      </c>
      <c r="J5" s="26">
        <v>20.228686107976806</v>
      </c>
      <c r="K5" s="27"/>
      <c r="L5" s="25">
        <v>0.25512306575732713</v>
      </c>
      <c r="M5" s="26">
        <v>10.88586899665586</v>
      </c>
      <c r="N5" s="27"/>
      <c r="O5" s="25">
        <v>0</v>
      </c>
      <c r="P5" s="26">
        <v>5.9204896383849661</v>
      </c>
      <c r="Q5" s="27"/>
      <c r="R5" s="25">
        <v>0</v>
      </c>
      <c r="S5" s="26">
        <v>0</v>
      </c>
      <c r="T5" s="28"/>
    </row>
    <row r="6" spans="1:22">
      <c r="A6" t="s">
        <v>211</v>
      </c>
      <c r="B6" s="24" t="s">
        <v>212</v>
      </c>
      <c r="C6" s="25">
        <v>91.070869800037684</v>
      </c>
      <c r="D6" s="29">
        <v>84.20440962342316</v>
      </c>
      <c r="E6" s="27"/>
      <c r="F6" s="25">
        <v>87.534428328295164</v>
      </c>
      <c r="G6" s="26">
        <v>57.653504628539778</v>
      </c>
      <c r="H6" s="27"/>
      <c r="I6" s="25">
        <v>68.653176023021885</v>
      </c>
      <c r="J6" s="26">
        <v>38.939104072303401</v>
      </c>
      <c r="K6" s="27"/>
      <c r="L6" s="25">
        <v>56.625640797570959</v>
      </c>
      <c r="M6" s="26">
        <v>21.375549434136516</v>
      </c>
      <c r="N6" s="27"/>
      <c r="O6" s="25">
        <v>22.905604231577971</v>
      </c>
      <c r="P6" s="26">
        <v>17.089265254148991</v>
      </c>
      <c r="Q6" s="27"/>
      <c r="R6" s="25">
        <v>0</v>
      </c>
      <c r="S6" s="26">
        <v>8.9778829637686179</v>
      </c>
      <c r="T6" s="28"/>
    </row>
    <row r="7" spans="1:22" ht="16" thickBot="1">
      <c r="A7" t="s">
        <v>213</v>
      </c>
      <c r="B7" s="30" t="s">
        <v>214</v>
      </c>
      <c r="C7" s="31">
        <v>3.1885781838112393</v>
      </c>
      <c r="D7" s="35">
        <v>2.7048113293704605</v>
      </c>
      <c r="E7" s="32"/>
      <c r="F7" s="31">
        <v>3.2790847980000004</v>
      </c>
      <c r="G7" s="35">
        <v>2.060116970287444</v>
      </c>
      <c r="H7" s="32"/>
      <c r="I7" s="31">
        <v>2.904295861</v>
      </c>
      <c r="J7" s="35">
        <v>2.0468732960491893</v>
      </c>
      <c r="K7" s="32"/>
      <c r="L7" s="31">
        <v>2.2572345599999992</v>
      </c>
      <c r="M7" s="35">
        <v>2.0401870710515091</v>
      </c>
      <c r="N7" s="32"/>
      <c r="O7" s="31">
        <v>2.2275109999999998</v>
      </c>
      <c r="P7" s="35">
        <v>3.865365254367231</v>
      </c>
      <c r="Q7" s="32"/>
      <c r="R7" s="31">
        <v>4.1968513693439755</v>
      </c>
      <c r="S7" s="35">
        <v>2.540547307753291</v>
      </c>
      <c r="T7" s="33"/>
    </row>
    <row r="8" spans="1:22"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</row>
    <row r="9" spans="1:22"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</row>
    <row r="10" spans="1:22"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</row>
    <row r="11" spans="1:22"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</row>
    <row r="12" spans="1:22"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</row>
    <row r="13" spans="1:22"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</row>
    <row r="14" spans="1:22"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</row>
    <row r="15" spans="1:22"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</row>
    <row r="16" spans="1:22"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</row>
    <row r="17" spans="2:18"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</row>
    <row r="18" spans="2:18"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</row>
    <row r="19" spans="2:18"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</row>
    <row r="20" spans="2:18"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</row>
    <row r="21" spans="2:18"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</row>
    <row r="22" spans="2:18"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</row>
    <row r="23" spans="2:18"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</row>
    <row r="24" spans="2:18"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</row>
    <row r="25" spans="2:18"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</row>
    <row r="26" spans="2:18"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</row>
    <row r="27" spans="2:18"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</row>
    <row r="28" spans="2:18"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</row>
    <row r="29" spans="2:18"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</row>
    <row r="30" spans="2:18"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</row>
  </sheetData>
  <mergeCells count="7">
    <mergeCell ref="B1:T1"/>
    <mergeCell ref="C2:E2"/>
    <mergeCell ref="F2:H2"/>
    <mergeCell ref="I2:K2"/>
    <mergeCell ref="L2:N2"/>
    <mergeCell ref="O2:Q2"/>
    <mergeCell ref="R2:S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СЗП</vt:lpstr>
      <vt:lpstr>СЗП_2</vt:lpstr>
      <vt:lpstr>СЗП_3</vt:lpstr>
      <vt:lpstr>Тест1 Данные</vt:lpstr>
      <vt:lpstr>Тест1 Объекты_14</vt:lpstr>
      <vt:lpstr>Сводная</vt:lpstr>
      <vt:lpstr>Диаграммы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avdemin</dc:creator>
  <cp:lastModifiedBy>Microsoft Office User</cp:lastModifiedBy>
  <cp:lastPrinted>2022-06-01T03:38:43Z</cp:lastPrinted>
  <dcterms:created xsi:type="dcterms:W3CDTF">2013-01-17T09:49:02Z</dcterms:created>
  <dcterms:modified xsi:type="dcterms:W3CDTF">2023-06-30T04:40:36Z</dcterms:modified>
</cp:coreProperties>
</file>